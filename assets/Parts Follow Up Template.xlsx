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namedSheetViews/namedSheetView1.xml" ContentType="application/vnd.ms-excel.namedsheetviews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https://pearsonpackaging-my.sharepoint.com/personal/bthall_pearsonpkg_com/Documents/Desktop/Parts Follow Up/2026/"/>
    </mc:Choice>
  </mc:AlternateContent>
  <xr:revisionPtr revIDLastSave="836" documentId="8_{E6A18B93-A52F-4313-98CD-AC9D0D730CDE}" xr6:coauthVersionLast="47" xr6:coauthVersionMax="47" xr10:uidLastSave="{B9E7DFB8-78BF-4C33-9874-27251541DE59}"/>
  <workbookProtection workbookAlgorithmName="SHA-512" workbookHashValue="RQsq4yYhj4F/02jKig+fa+F8K6BanCMBwrDc20A4p2C609exuSHfLO7WZykz5jc9VceSmc6Dfwhr6Vmlg24GHw==" workbookSaltValue="b/fpchlDb62rdG8f5eE/5g==" workbookSpinCount="100000" lockStructure="1"/>
  <bookViews>
    <workbookView xWindow="-120" yWindow="-120" windowWidth="29040" windowHeight="15720" tabRatio="685" activeTab="5" xr2:uid="{00000000-000D-0000-FFFF-FFFF00000000}"/>
  </bookViews>
  <sheets>
    <sheet name="Master Allocation" sheetId="1" r:id="rId1"/>
    <sheet name="Tami Knoell" sheetId="2" r:id="rId2"/>
    <sheet name="Brent Schrader" sheetId="3" r:id="rId3"/>
    <sheet name="Eric Simpson" sheetId="4" r:id="rId4"/>
    <sheet name="LuWanna Morris" sheetId="5" r:id="rId5"/>
    <sheet name="Reid Kincaid" sheetId="6" r:id="rId6"/>
    <sheet name="Summary" sheetId="7" r:id="rId7"/>
  </sheets>
  <externalReferences>
    <externalReference r:id="rId8"/>
  </externalReferences>
  <definedNames>
    <definedName name="_Hlk212526893">'Brent Schrader'!#REF!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D6" i="7"/>
  <c r="D5" i="7"/>
  <c r="D4" i="7"/>
  <c r="D3" i="7"/>
  <c r="D2" i="7"/>
  <c r="B2" i="7"/>
  <c r="B3" i="7"/>
  <c r="B4" i="7"/>
  <c r="B5" i="7"/>
  <c r="B6" i="7"/>
  <c r="H6" i="7" l="1"/>
  <c r="H3" i="7"/>
  <c r="H2" i="7"/>
  <c r="H5" i="7"/>
  <c r="G6" i="7" l="1"/>
  <c r="G5" i="7"/>
  <c r="G4" i="7"/>
  <c r="G2" i="7"/>
  <c r="G3" i="7"/>
  <c r="G7" i="7" l="1"/>
  <c r="C15" i="7" s="1"/>
  <c r="F6" i="7" l="1"/>
  <c r="F5" i="7"/>
  <c r="F4" i="7"/>
  <c r="F3" i="7"/>
  <c r="F2" i="7"/>
  <c r="E6" i="7"/>
  <c r="E5" i="7"/>
  <c r="E4" i="7"/>
  <c r="E3" i="7"/>
  <c r="E2" i="7"/>
  <c r="C6" i="7"/>
  <c r="C5" i="7"/>
  <c r="C3" i="7"/>
  <c r="C2" i="7"/>
  <c r="A2" i="1" a="1"/>
  <c r="C13" i="7" s="1"/>
  <c r="A2" i="1" l="1"/>
  <c r="H4" i="7"/>
  <c r="H7" i="7" s="1"/>
  <c r="F7" i="7"/>
  <c r="C12" i="7" s="1"/>
  <c r="E7" i="7"/>
  <c r="D7" i="7"/>
  <c r="D15" i="7" s="1"/>
  <c r="C7" i="7"/>
  <c r="B7" i="7"/>
  <c r="C14" i="7" l="1"/>
  <c r="C10" i="7"/>
  <c r="C11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<sst xmlns="http://schemas.openxmlformats.org/spreadsheetml/2006/main" count="99" uniqueCount="37">
  <si>
    <t>Quote Number</t>
  </si>
  <si>
    <t>Customer Name</t>
  </si>
  <si>
    <t>Quote Amount</t>
  </si>
  <si>
    <t>Quote Date</t>
  </si>
  <si>
    <t>Assignee</t>
  </si>
  <si>
    <t>Follow Up Date</t>
  </si>
  <si>
    <t>Contact Name</t>
  </si>
  <si>
    <t>Contact Number</t>
  </si>
  <si>
    <t>Actual Order $</t>
  </si>
  <si>
    <t>Won/Lost</t>
  </si>
  <si>
    <t>Won by Follow Up</t>
  </si>
  <si>
    <t>Notes</t>
  </si>
  <si>
    <t>Previous Follow Up Date</t>
  </si>
  <si>
    <t>Cust. Name</t>
  </si>
  <si>
    <t>Quote Entry Date</t>
  </si>
  <si>
    <t>Won by Follow Up?</t>
  </si>
  <si>
    <t>Tami Knoell</t>
  </si>
  <si>
    <t>Brent Schrader</t>
  </si>
  <si>
    <t>Eric Simpson</t>
  </si>
  <si>
    <t>LuWanna Morris</t>
  </si>
  <si>
    <t>Reid Kincaid</t>
  </si>
  <si>
    <t>Primary Sales Rep</t>
  </si>
  <si>
    <t>Quotes (#)</t>
  </si>
  <si>
    <t>Customers (#)</t>
  </si>
  <si>
    <t>Total Potential $</t>
  </si>
  <si>
    <t>Avg $/Quote</t>
  </si>
  <si>
    <t>Amount Recoverd $</t>
  </si>
  <si>
    <t>Amount by Follow Up Only</t>
  </si>
  <si>
    <t>Contacts Made</t>
  </si>
  <si>
    <t>Totals</t>
  </si>
  <si>
    <t>Total Quotes Won</t>
  </si>
  <si>
    <t>% Quotes Won</t>
  </si>
  <si>
    <t>Total Revenue Confirmed</t>
  </si>
  <si>
    <t>Total Converted w/ FU</t>
  </si>
  <si>
    <t>% Quotes Won w/ FU</t>
  </si>
  <si>
    <t>Total by Follow Up Only</t>
  </si>
  <si>
    <t>%/Total by 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</si>
</sst>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\(000\)\ 000\-0000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333333"/>
      <name val="Arial"/>
      <family val="2"/>
      <charset val="1"/>
    </font>
    <font>
      <sz val="11"/>
      <color rgb="FF000000"/>
      <name val="Calibri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44" fontId="0" fillId="0" borderId="0" xfId="2" applyFont="1"/>
    <xf numFmtId="164" fontId="0" fillId="0" borderId="0" xfId="2" applyNumberFormat="1" applyFont="1"/>
    <xf numFmtId="14" fontId="0" fillId="0" borderId="0" xfId="0" applyNumberFormat="1"/>
    <xf numFmtId="0" fontId="0" fillId="2" borderId="0" xfId="0" applyFill="1"/>
    <xf numFmtId="164" fontId="0" fillId="2" borderId="0" xfId="2" applyNumberFormat="1" applyFont="1" applyFill="1"/>
    <xf numFmtId="165" fontId="0" fillId="0" borderId="0" xfId="0" applyNumberFormat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top"/>
    </xf>
    <xf numFmtId="44" fontId="4" fillId="0" borderId="1" xfId="2" applyFont="1" applyBorder="1" applyAlignment="1">
      <alignment horizontal="center" vertical="top"/>
    </xf>
    <xf numFmtId="166" fontId="0" fillId="0" borderId="0" xfId="1" applyNumberFormat="1" applyFont="1"/>
    <xf numFmtId="0" fontId="3" fillId="0" borderId="0" xfId="0" applyFont="1"/>
    <xf numFmtId="44" fontId="3" fillId="0" borderId="0" xfId="2" applyFont="1"/>
    <xf numFmtId="1" fontId="3" fillId="0" borderId="0" xfId="2" applyNumberFormat="1" applyFont="1"/>
    <xf numFmtId="10" fontId="0" fillId="0" borderId="0" xfId="3" applyNumberFormat="1" applyFont="1"/>
    <xf numFmtId="4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49" fontId="0" fillId="2" borderId="0" xfId="0" applyNumberFormat="1" applyFill="1"/>
    <xf numFmtId="49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2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horizontal="center"/>
    </xf>
    <xf numFmtId="9" fontId="0" fillId="0" borderId="0" xfId="3" applyFont="1"/>
    <xf numFmtId="0" fontId="2" fillId="0" borderId="0" xfId="0" applyFont="1"/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164" fontId="2" fillId="0" borderId="2" xfId="2" applyNumberFormat="1" applyFont="1" applyFill="1" applyBorder="1"/>
    <xf numFmtId="49" fontId="2" fillId="0" borderId="2" xfId="0" applyNumberFormat="1" applyFont="1" applyBorder="1"/>
    <xf numFmtId="0" fontId="2" fillId="0" borderId="3" xfId="0" applyFont="1" applyBorder="1" applyAlignment="1">
      <alignment horizontal="center"/>
    </xf>
    <xf numFmtId="164" fontId="0" fillId="0" borderId="0" xfId="2" applyNumberFormat="1" applyFont="1" applyFill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2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9" fillId="3" borderId="0" xfId="0" applyFont="1" applyFill="1"/>
    <xf numFmtId="0" fontId="9" fillId="4" borderId="0" xfId="0" applyFont="1" applyFill="1"/>
    <xf numFmtId="165" fontId="5" fillId="0" borderId="0" xfId="0" applyNumberFormat="1" applyFont="1"/>
    <xf numFmtId="0" fontId="10" fillId="0" borderId="0" xfId="0" applyFont="1"/>
    <xf numFmtId="44" fontId="0" fillId="0" borderId="0" xfId="2" applyFont="1" applyAlignment="1">
      <alignment horizontal="center"/>
    </xf>
    <xf numFmtId="44" fontId="2" fillId="0" borderId="2" xfId="2" applyFont="1" applyFill="1" applyBorder="1"/>
    <xf numFmtId="0" fontId="7" fillId="0" borderId="0" xfId="0" quotePrefix="1" applyFont="1"/>
    <xf numFmtId="4" fontId="0" fillId="0" borderId="0" xfId="0" applyNumberFormat="1"/>
    <xf numFmtId="14" fontId="0" fillId="0" borderId="4" xfId="0" applyNumberFormat="1" applyBorder="1" applyAlignment="1">
      <alignment horizontal="center"/>
    </xf>
    <xf numFmtId="165" fontId="0" fillId="0" borderId="4" xfId="0" applyNumberFormat="1" applyBorder="1"/>
    <xf numFmtId="164" fontId="0" fillId="0" borderId="4" xfId="2" applyNumberFormat="1" applyFont="1" applyFill="1" applyBorder="1"/>
    <xf numFmtId="49" fontId="0" fillId="0" borderId="5" xfId="0" applyNumberFormat="1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8" fillId="0" borderId="0" xfId="4"/>
    <xf numFmtId="0" fontId="11" fillId="4" borderId="0" xfId="0" applyFont="1" applyFill="1"/>
    <xf numFmtId="0" fontId="11" fillId="3" borderId="0" xfId="0" applyFont="1" applyFill="1"/>
    <xf numFmtId="16" fontId="0" fillId="0" borderId="0" xfId="0" applyNumberFormat="1"/>
    <xf numFmtId="0" fontId="8" fillId="4" borderId="0" xfId="4" applyFill="1" applyBorder="1" applyAlignment="1"/>
    <xf numFmtId="4" fontId="9" fillId="4" borderId="0" xfId="0" applyNumberFormat="1" applyFont="1" applyFill="1"/>
    <xf numFmtId="14" fontId="9" fillId="3" borderId="0" xfId="0" applyNumberFormat="1" applyFont="1" applyFill="1"/>
    <xf numFmtId="0" fontId="8" fillId="3" borderId="0" xfId="4" applyFill="1" applyBorder="1" applyAlignment="1"/>
    <xf numFmtId="0" fontId="12" fillId="4" borderId="0" xfId="0" applyFont="1" applyFill="1"/>
    <xf numFmtId="1" fontId="0" fillId="0" borderId="0" xfId="0" applyNumberFormat="1"/>
    <xf numFmtId="44" fontId="0" fillId="0" borderId="0" xfId="2" applyFont="1" applyFill="1"/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4" applyFill="1" applyBorder="1" applyAlignment="1"/>
    <xf numFmtId="164" fontId="12" fillId="0" borderId="0" xfId="0" applyNumberFormat="1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44" fontId="0" fillId="0" borderId="0" xfId="2" applyFont="1" applyAlignment="1">
      <alignment horizontal="center" wrapText="1"/>
    </xf>
    <xf numFmtId="165" fontId="0" fillId="0" borderId="0" xfId="0" applyNumberFormat="1" applyAlignment="1">
      <alignment horizontal="center" wrapText="1"/>
    </xf>
    <xf numFmtId="164" fontId="0" fillId="0" borderId="0" xfId="2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44" fontId="0" fillId="0" borderId="0" xfId="2" applyFont="1" applyAlignment="1">
      <alignment wrapText="1"/>
    </xf>
    <xf numFmtId="44" fontId="0" fillId="0" borderId="4" xfId="2" applyFont="1" applyFill="1" applyBorder="1"/>
    <xf numFmtId="14" fontId="0" fillId="0" borderId="5" xfId="0" applyNumberFormat="1" applyBorder="1" applyAlignment="1">
      <alignment horizontal="center"/>
    </xf>
    <xf numFmtId="0" fontId="0" fillId="0" borderId="5" xfId="0" applyBorder="1"/>
    <xf numFmtId="0" fontId="3" fillId="0" borderId="0" xfId="0" applyFont="1" applyAlignment="1">
      <alignment horizontal="center" vertic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63"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(000\)\ 000\-0000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m/d/yyyy"/>
      <alignment horizontal="center" vertical="bottom" textRotation="0" wrapText="0" indent="0" justifyLastLine="0" shrinkToFit="0" readingOrder="0"/>
    </dxf>
    <dxf>
      <numFmt numFmtId="30" formatCode="@"/>
    </dxf>
    <dxf>
      <numFmt numFmtId="164" formatCode="_(&quot;$&quot;* #,##0_);_(&quot;$&quot;* \(#,##0\);_(&quot;$&quot;* &quot;-&quot;??_);_(@_)"/>
    </dxf>
    <dxf>
      <numFmt numFmtId="165" formatCode="\(000\)\ 000\-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vertical="bottom" textRotation="0" wrapText="1" indent="0" justifyLastLine="0" shrinkToFit="0" readingOrder="0"/>
    </dxf>
    <dxf>
      <numFmt numFmtId="164" formatCode="_(&quot;$&quot;* #,##0_);_(&quot;$&quot;* \(#,##0\);_(&quot;$&quot;* &quot;-&quot;??_);_(@_)"/>
      <alignment vertical="bottom" textRotation="0" wrapText="1" indent="0" justifyLastLine="0" shrinkToFit="0" readingOrder="0"/>
    </dxf>
    <dxf>
      <numFmt numFmtId="165" formatCode="\(000\)\ 000\-0000"/>
      <alignment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m/d/yyyy"/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4" formatCode="_(&quot;$&quot;* #,##0_);_(&quot;$&quot;* \(#,##0\);_(&quot;$&quot;* &quot;-&quot;??_);_(@_)"/>
    </dxf>
    <dxf>
      <numFmt numFmtId="165" formatCode="\(000\)\ 000\-000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(&quot;$&quot;* #,##0_);_(&quot;$&quot;* \(#,##0\);_(&quot;$&quot;* &quot;-&quot;??_);_(@_)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arsonpackaging-my.sharepoint.com/personal/bthall_pearsonpkg_com/Documents/Desktop/Parts%20Follow%20Up/FollowUp_By_PrimaryRep_7.1.2025%20to%209.12.2025.xlsx" TargetMode="External"/><Relationship Id="rId1" Type="http://schemas.openxmlformats.org/officeDocument/2006/relationships/externalLinkPath" Target="FollowUp_By_PrimaryRep_7.1.2025%20to%209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j1NAHx1rUiXMRdhsd_PRm0pWSxw-cBLummAJcHM6cc1m17u6V_1Q401qiCEVlpD" itemId="01DDMY54MPXX7NUVRIKREJYWIU6HV2HMEP">
      <xxl21:absoluteUrl r:id="rId2"/>
    </xxl21:alternateUrls>
    <sheetNames>
      <sheetName val="Master Allocation"/>
      <sheetName val="Brent Schrader"/>
      <sheetName val="Eric Simpson"/>
      <sheetName val="LuWanna Morris"/>
      <sheetName val="Reid Kincaid"/>
      <sheetName val="Tami Knoell"/>
      <sheetName val="Summary"/>
      <sheetName val="Orders Recovered"/>
      <sheetName val="FollowUp_By_PrimaryRep_7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ABB65C2-7B51-4C78-8BAC-1EE1A411C7ED}">
    <nsvFilter filterId="{17D7C0DC-915A-49FC-91FA-EE96535CFF25}" ref="A1:M65" tableId="8">
      <sortRules>
        <sortRule colId="2" id="{85FF137E-8F0E-4E02-B30E-F4E24D826FD2}">
          <sortCondition ref="C1:C65"/>
        </sortRule>
      </sortRules>
    </nsvFilter>
  </namedSheetView>
</namedSheetView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D9F14-BB8E-4632-BBF8-7A0182267B88}" name="Tami" displayName="Tami" ref="A1:M66" totalsRowShown="0" dataDxfId="62">
  <autoFilter ref="A1:M66" xr:uid="{F16D9F14-BB8E-4632-BBF8-7A0182267B88}"/>
  <tableColumns count="13">
    <tableColumn id="1" xr3:uid="{E311C5CD-BE82-48D6-96D3-727E3420FBEA}" name="Quote Number" dataDxfId="61"/>
    <tableColumn id="2" xr3:uid="{2CA5C3FE-E06A-4DC1-91DC-F521B751CB45}" name="Cust. Name" dataDxfId="60"/>
    <tableColumn id="3" xr3:uid="{6AA8E441-6C5B-4DEE-95CF-61676D00494B}" name="Quote Amount" dataDxfId="59" dataCellStyle="Currency"/>
    <tableColumn id="4" xr3:uid="{5A2CF623-3CD0-412B-8B4F-F1658983AFAA}" name="Quote Entry Date" dataDxfId="58"/>
    <tableColumn id="5" xr3:uid="{41F17504-8EF8-41AE-87E8-C83A5D69C7B7}" name="Assignee" dataDxfId="57"/>
    <tableColumn id="6" xr3:uid="{6ED899A1-C8E1-41BE-841B-3F5D2160EE78}" name="Follow Up Date" dataDxfId="56"/>
    <tableColumn id="7" xr3:uid="{BD6CD6F0-5C43-4ACE-825B-E77CB20C247C}" name="Contact Name" dataDxfId="55"/>
    <tableColumn id="8" xr3:uid="{C11EABEF-E1BD-43CC-A32A-BC2B4138177E}" name="Contact Number" dataDxfId="54"/>
    <tableColumn id="9" xr3:uid="{8E965264-9C4F-4449-8654-C80F8C6A6E9D}" name="Actual Order $" dataDxfId="53"/>
    <tableColumn id="10" xr3:uid="{10D60957-2667-4B10-BC9F-6D2B90B605E9}" name="Won/Lost" dataDxfId="52"/>
    <tableColumn id="11" xr3:uid="{B52492A7-E5A9-4430-B7EF-2E3A14E950D8}" name="Won by Follow Up?" dataDxfId="51"/>
    <tableColumn id="12" xr3:uid="{C4CC6261-6C57-4680-94B9-DBECECFD1D5A}" name="Notes" dataDxfId="50"/>
    <tableColumn id="13" xr3:uid="{B0E8807D-D263-4F75-8BEF-9D8235D915DC}" name="Previous Follow Up Date" dataDxfId="4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3F8D2-1C5C-4A7F-B844-8C5C7EE718C0}" name="Brent" displayName="Brent" ref="A1:M97" totalsRowShown="0">
  <autoFilter ref="A1:M97" xr:uid="{D4A3F8D2-1C5C-4A7F-B844-8C5C7EE718C0}"/>
  <sortState xmlns:xlrd2="http://schemas.microsoft.com/office/spreadsheetml/2017/richdata2" ref="A2:M97">
    <sortCondition ref="D1:D97"/>
  </sortState>
  <tableColumns count="13">
    <tableColumn id="1" xr3:uid="{97E8A94E-E514-447B-BCF9-DA85B207BBCB}" name="Quote Number" dataDxfId="48"/>
    <tableColumn id="2" xr3:uid="{930D2A78-3C92-4CB7-9323-E41104C362F3}" name="Cust. Name"/>
    <tableColumn id="3" xr3:uid="{2CAEED6A-B708-4D1E-93BD-3F8DAF63EFC7}" name="Quote Amount" dataDxfId="47" dataCellStyle="Currency"/>
    <tableColumn id="4" xr3:uid="{643994F1-A798-4683-939F-BE19898AC710}" name="Quote Entry Date" dataDxfId="46"/>
    <tableColumn id="5" xr3:uid="{72E03E17-8304-479F-8AC2-D4748FADF6F3}" name="Assignee"/>
    <tableColumn id="6" xr3:uid="{D83D9686-C7C8-4C30-9FAC-2FF92C164D96}" name="Follow Up Date" dataDxfId="45"/>
    <tableColumn id="7" xr3:uid="{9D51E23E-4F93-4EFB-839A-1F43FF0AFF69}" name="Contact Name" dataDxfId="44"/>
    <tableColumn id="8" xr3:uid="{BF3D5CA7-4C60-4191-A528-1E6FDF66A7F6}" name="Contact Number" dataDxfId="43"/>
    <tableColumn id="9" xr3:uid="{F627453C-35C5-4A86-86BD-B7A6A9A3CF19}" name="Actual Order $" dataDxfId="42" dataCellStyle="Currency"/>
    <tableColumn id="10" xr3:uid="{1720FA63-AC7E-4A72-8CC9-4EDB5A4DA946}" name="Won/Lost"/>
    <tableColumn id="11" xr3:uid="{B1C335AC-8D2B-484E-953C-902CB46FBBE1}" name="Won by Follow Up?"/>
    <tableColumn id="12" xr3:uid="{7CACCF9E-7C14-4244-8385-727DB5406B43}" name="Notes"/>
    <tableColumn id="13" xr3:uid="{C2CCE50E-B5E9-489B-9EF2-D8EEFC6E5B0F}" name="Previous Follow Up Date" dataDxfId="4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7A11F8-E6F6-485C-9446-85740BC25841}" name="Eric" displayName="Eric" ref="A1:M82" totalsRowShown="0" dataDxfId="40">
  <autoFilter ref="A1:M82" xr:uid="{957A11F8-E6F6-485C-9446-85740BC25841}"/>
  <tableColumns count="13">
    <tableColumn id="1" xr3:uid="{EFEF7828-7603-4E20-9709-3E9243152FB0}" name="Quote Number" dataDxfId="39"/>
    <tableColumn id="2" xr3:uid="{20054C0B-756F-4FFF-8DD6-901AB90A03D7}" name="Cust. Name" dataDxfId="38"/>
    <tableColumn id="3" xr3:uid="{727F2E16-9DAB-4A6F-80FF-6F764029341A}" name="Quote Amount" dataDxfId="37" dataCellStyle="Currency"/>
    <tableColumn id="4" xr3:uid="{E9DB9E8A-0E7C-47C4-BA68-E69D1ADFB809}" name="Quote Entry Date" dataDxfId="36"/>
    <tableColumn id="5" xr3:uid="{97F00ECC-FCBA-4505-8598-DEC464FF9D16}" name="Assignee" dataDxfId="35"/>
    <tableColumn id="6" xr3:uid="{E0E265BB-6405-4FB3-9168-4B0777BFD529}" name="Follow Up Date" dataDxfId="34"/>
    <tableColumn id="7" xr3:uid="{47C99944-CE6B-4E9F-9824-0D83A7715690}" name="Contact Name" dataDxfId="33"/>
    <tableColumn id="8" xr3:uid="{85A5194F-60D6-44F1-9CDD-8AF21335E787}" name="Contact Number" dataDxfId="32"/>
    <tableColumn id="9" xr3:uid="{B38754B7-68E4-4B8B-9413-1E5269578DAE}" name="Actual Order $" dataDxfId="31" dataCellStyle="Currency"/>
    <tableColumn id="10" xr3:uid="{3BEBF218-94F5-42BA-B1BA-2E4838E34DC0}" name="Won/Lost" dataDxfId="30"/>
    <tableColumn id="11" xr3:uid="{5AF1F44B-F004-4D1F-A2AD-4EBA8392C02A}" name="Won by Follow Up?" dataDxfId="29"/>
    <tableColumn id="12" xr3:uid="{26E14F2C-220E-4645-BF88-6C44C65BD1A4}" name="Notes" dataDxfId="28"/>
    <tableColumn id="13" xr3:uid="{219B6EDE-985F-4EAB-83C9-D88021DFA60D}" name="Previous Follow Up Date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E509AE-E534-4C23-8EF6-75215EB6B32D}" name="LuWanna" displayName="LuWanna" ref="A1:M107" totalsRowShown="0">
  <autoFilter ref="A1:M107" xr:uid="{C2E509AE-E534-4C23-8EF6-75215EB6B32D}"/>
  <sortState xmlns:xlrd2="http://schemas.microsoft.com/office/spreadsheetml/2017/richdata2" ref="A2:M107">
    <sortCondition ref="J1:J107"/>
  </sortState>
  <tableColumns count="13">
    <tableColumn id="1" xr3:uid="{687C0256-1CA3-45E6-B447-270F75795071}" name="Quote Number"/>
    <tableColumn id="2" xr3:uid="{60F933A7-68B0-40E9-BDF5-166ACE6CCA99}" name="Cust. Name"/>
    <tableColumn id="3" xr3:uid="{A37F099B-467F-4980-83A3-3EC57A9FEDBF}" name="Quote Amount" dataDxfId="26" dataCellStyle="Currency"/>
    <tableColumn id="4" xr3:uid="{F6866119-450D-4E80-B7EC-C90B190084DC}" name="Quote Entry Date" dataDxfId="25"/>
    <tableColumn id="5" xr3:uid="{2B027451-327F-4BE3-A306-B4F03B9C28E4}" name="Assignee"/>
    <tableColumn id="6" xr3:uid="{25B36664-24AC-4189-AC3A-C205C048B8C8}" name="Follow Up Date" dataDxfId="24"/>
    <tableColumn id="7" xr3:uid="{E55CBADB-8078-4B93-AC56-AAC72226D9B1}" name="Contact Name" dataDxfId="23"/>
    <tableColumn id="8" xr3:uid="{8D86B89E-B180-414C-A02B-DC0204CF387C}" name="Contact Number" dataDxfId="22"/>
    <tableColumn id="9" xr3:uid="{31E4C87F-8B8A-4A3A-9FE0-95D77D20BF72}" name="Actual Order $" dataDxfId="21" dataCellStyle="Currency"/>
    <tableColumn id="10" xr3:uid="{EBA9E37E-F9B6-4E06-BAB7-BCB4087E5C25}" name="Won/Lost" dataDxfId="20"/>
    <tableColumn id="11" xr3:uid="{14073738-5104-4883-B840-8394C8645415}" name="Won by Follow Up?"/>
    <tableColumn id="12" xr3:uid="{8EA3BC63-DA05-40EA-B1CD-B39332CC5ECE}" name="Notes"/>
    <tableColumn id="13" xr3:uid="{32F9EC25-1455-44C3-B9E4-79137FE43886}" name="Previous Follow Up Date" dataDxfId="1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D7C0DC-915A-49FC-91FA-EE96535CFF25}" name="Reid" displayName="Reid" ref="A1:M65" totalsRowShown="0" headerRowDxfId="18">
  <autoFilter ref="A1:M65" xr:uid="{17D7C0DC-915A-49FC-91FA-EE96535CFF25}"/>
  <sortState xmlns:xlrd2="http://schemas.microsoft.com/office/spreadsheetml/2017/richdata2" ref="A2:M64">
    <sortCondition descending="1" ref="C1:C64"/>
  </sortState>
  <tableColumns count="13">
    <tableColumn id="1" xr3:uid="{0AE69FAA-E283-4FEF-9477-2F65C877B517}" name="Quote Number" dataDxfId="17"/>
    <tableColumn id="2" xr3:uid="{02E968AF-B18B-449B-9B29-BB75C3279797}" name="Cust. Name" dataDxfId="16"/>
    <tableColumn id="3" xr3:uid="{85FF137E-8F0E-4E02-B30E-F4E24D826FD2}" name="Quote Amount" dataDxfId="15" dataCellStyle="Currency"/>
    <tableColumn id="4" xr3:uid="{E6EF0BA1-82B6-4822-A949-32C7142CDE15}" name="Quote Entry Date" dataDxfId="14"/>
    <tableColumn id="5" xr3:uid="{E32DDD02-BBD2-47AF-915C-6C1B9D8399AF}" name="Assignee" dataDxfId="13"/>
    <tableColumn id="6" xr3:uid="{7F275D25-537D-440A-A4DA-395592CE678C}" name="Follow Up Date" dataDxfId="12"/>
    <tableColumn id="7" xr3:uid="{FD1E32B4-4339-4D4D-8FC3-7E0E0831A12E}" name="Contact Name" dataDxfId="11"/>
    <tableColumn id="8" xr3:uid="{058893CD-8810-4F20-8F16-C7B094F40F06}" name="Contact Number" dataDxfId="10"/>
    <tableColumn id="9" xr3:uid="{6AAC2701-BB47-46C8-9F7E-0B261E7087B0}" name="Actual Order $" dataDxfId="9" dataCellStyle="Currency"/>
    <tableColumn id="10" xr3:uid="{B3D35087-8282-472C-A27B-A6B3EA464C95}" name="Won/Lost" dataDxfId="8"/>
    <tableColumn id="11" xr3:uid="{BA198882-F8EB-468B-8CF2-9ADC1E5B5AE3}" name="Won by Follow Up?" dataDxfId="7"/>
    <tableColumn id="12" xr3:uid="{4219E775-AFA0-47D8-A667-3D1F07513348}" name="Notes" dataDxfId="6"/>
    <tableColumn id="13" xr3:uid="{857E3087-A8D2-4C0E-9614-137B2F6745A6}" name="Previous Follow Up Date" dataDxfId="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F908E6-129B-4A13-AC44-4C2699E0AA3B}" name="Table3" displayName="Table3" ref="A1:H7" totalsRowShown="0" headerRowDxfId="4" headerRowBorderDxfId="3" tableBorderDxfId="2">
  <autoFilter ref="A1:H7" xr:uid="{87F908E6-129B-4A13-AC44-4C2699E0AA3B}"/>
  <tableColumns count="8">
    <tableColumn id="1" xr3:uid="{5B2E0F57-3F1D-4F79-B7FA-6672E9AEC53B}" name="Primary Sales Rep"/>
    <tableColumn id="2" xr3:uid="{72634986-080B-402C-BD89-5FBAC617DBBC}" name="Quotes (#)"/>
    <tableColumn id="3" xr3:uid="{EE7563C6-7D04-4414-ABFA-5E2B415749B6}" name="Customers (#)"/>
    <tableColumn id="4" xr3:uid="{068F2A18-7CDB-4A48-BD8F-464330B43237}" name="Total Potential $" dataCellStyle="Currency"/>
    <tableColumn id="5" xr3:uid="{C288483B-9960-47FC-B3BF-820FA66E4D55}" name="Avg $/Quote" dataCellStyle="Currency"/>
    <tableColumn id="6" xr3:uid="{62DB779F-B3C6-44E8-AD30-60FE65EE4792}" name="Amount Recoverd $" dataCellStyle="Currency"/>
    <tableColumn id="8" xr3:uid="{D5839C4F-F8EE-4C14-B0B2-3E2D0D0988DD}" name="Amount by Follow Up Only" dataDxfId="1" dataCellStyle="Currency">
      <calculatedColumnFormula>SUMIFS(LuWanna[Actual Order $], LuWanna[Won/Lost],"Won", LuWanna[Won by Follow Up?], TRUE)</calculatedColumnFormula>
    </tableColumn>
    <tableColumn id="7" xr3:uid="{F17CE848-D37E-4E49-AC6C-58C120C0FCE8}" name="Contacts Made" dataDxfId="0" dataCellStyle="Currency">
      <calculatedColumnFormula>SUBTOTAL(2, [1]!LuWannaTbl[Follow Up Date])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"/>
  <sheetViews>
    <sheetView zoomScale="90" zoomScaleNormal="90" workbookViewId="0">
      <selection activeCell="B255" sqref="B255"/>
    </sheetView>
  </sheetViews>
  <sheetFormatPr defaultRowHeight="14.4" x14ac:dyDescent="0.3"/>
  <cols>
    <col min="1" max="1" width="14" style="7" bestFit="1" customWidth="1"/>
    <col min="2" max="2" width="52.6640625" bestFit="1" customWidth="1"/>
    <col min="3" max="3" width="13.88671875" style="2" bestFit="1" customWidth="1"/>
    <col min="4" max="4" width="12.109375" style="21" customWidth="1"/>
    <col min="5" max="5" width="15" bestFit="1" customWidth="1"/>
    <col min="6" max="6" width="14.109375" style="21" bestFit="1" customWidth="1"/>
    <col min="7" max="7" width="20.5546875" style="26" customWidth="1"/>
    <col min="8" max="8" width="17.44140625" style="24" customWidth="1"/>
    <col min="9" max="9" width="15.109375" style="2" bestFit="1" customWidth="1"/>
    <col min="10" max="10" width="9.5546875" style="19" bestFit="1" customWidth="1"/>
    <col min="11" max="11" width="16.6640625" bestFit="1" customWidth="1"/>
    <col min="12" max="12" width="69" customWidth="1"/>
    <col min="13" max="13" width="23" style="21" bestFit="1" customWidth="1"/>
  </cols>
  <sheetData>
    <row r="1" spans="1:13" x14ac:dyDescent="0.3">
      <c r="A1" s="25" t="s">
        <v>0</v>
      </c>
      <c r="B1" s="4" t="s">
        <v>1</v>
      </c>
      <c r="C1" s="5" t="s">
        <v>2</v>
      </c>
      <c r="D1" s="22" t="s">
        <v>3</v>
      </c>
      <c r="E1" s="4" t="s">
        <v>4</v>
      </c>
      <c r="F1" s="22" t="s">
        <v>5</v>
      </c>
      <c r="G1" s="33" t="s">
        <v>6</v>
      </c>
      <c r="H1" s="23" t="s">
        <v>7</v>
      </c>
      <c r="I1" s="5" t="s">
        <v>8</v>
      </c>
      <c r="J1" s="18" t="s">
        <v>9</v>
      </c>
      <c r="K1" s="4" t="s">
        <v>10</v>
      </c>
      <c r="L1" s="4" t="s">
        <v>11</v>
      </c>
      <c r="M1" s="33" t="s">
        <v>12</v>
      </c>
    </row>
    <row r="2" spans="1:13" x14ac:dyDescent="0.3">
      <c r="A2" s="7" t="e" cm="1" vm="1">
        <f t="array" ref="A2">IF(_xlfn.VSTACK(_xlfn._xlws.FILTER('Tami Knoell'!A62:M561,'Tami Knoell'!A62:A561&lt;&gt;""),_xlfn._xlws.FILTER('Brent Schrader'!A92:M565,'Brent Schrader'!A92:A565&lt;&gt;""),_xlfn._xlws.FILTER('Eric Simpson'!A77:M562,'Eric Simpson'!A77:A562&lt;&gt;""),_xlfn._xlws.FILTER('LuWanna Morris'!A107:M465,'LuWanna Morris'!A107:A465&lt;&gt;""),_xlfn._xlws.FILTER('Reid Kincaid'!A62:M552,'Reid Kincaid'!A62:A552&lt;&gt;""))="","",_xlfn.VSTACK(_xlfn._xlws.FILTER('Tami Knoell'!A62:M561,'Tami Knoell'!A62:A561&lt;&gt;""),_xlfn._xlws.FILTER('Brent Schrader'!A92:M565,'Brent Schrader'!A92:A565&lt;&gt;""),_xlfn._xlws.FILTER('Eric Simpson'!A77:M562,'Eric Simpson'!A77:A562&lt;&gt;""),_xlfn._xlws.FILTER('LuWanna Morris'!A107:M465,'LuWanna Morris'!A107:A465&lt;&gt;""),_xlfn._xlws.FILTER('Reid Kincaid'!A62:M552,'Reid Kincaid'!A62:A552&lt;&gt;"")))</f>
        <v>#VALUE!</v>
      </c>
      <c r="K2" s="20"/>
    </row>
    <row r="3" spans="1:13" x14ac:dyDescent="0.3">
      <c r="K3" s="20"/>
    </row>
    <row r="4" spans="1:13" x14ac:dyDescent="0.3">
      <c r="K4" s="20"/>
    </row>
    <row r="5" spans="1:13" x14ac:dyDescent="0.3">
      <c r="K5" s="20"/>
    </row>
    <row r="6" spans="1:13" x14ac:dyDescent="0.3">
      <c r="K6" s="20"/>
    </row>
    <row r="7" spans="1:13" x14ac:dyDescent="0.3">
      <c r="K7" s="20"/>
    </row>
    <row r="8" spans="1:13" x14ac:dyDescent="0.3">
      <c r="K8" s="20"/>
    </row>
    <row r="9" spans="1:13" x14ac:dyDescent="0.3">
      <c r="K9" s="20"/>
    </row>
    <row r="10" spans="1:13" x14ac:dyDescent="0.3">
      <c r="K10" s="20"/>
    </row>
    <row r="11" spans="1:13" x14ac:dyDescent="0.3">
      <c r="K11" s="20"/>
    </row>
    <row r="12" spans="1:13" x14ac:dyDescent="0.3">
      <c r="K12" s="20"/>
    </row>
    <row r="13" spans="1:13" x14ac:dyDescent="0.3">
      <c r="K13" s="20"/>
    </row>
    <row r="14" spans="1:13" x14ac:dyDescent="0.3">
      <c r="K14" s="20"/>
    </row>
    <row r="15" spans="1:13" x14ac:dyDescent="0.3">
      <c r="K15" s="20"/>
    </row>
    <row r="16" spans="1:13" x14ac:dyDescent="0.3">
      <c r="K16" s="20"/>
    </row>
    <row r="17" spans="11:11" x14ac:dyDescent="0.3">
      <c r="K17" s="20"/>
    </row>
    <row r="18" spans="11:11" x14ac:dyDescent="0.3">
      <c r="K18" s="20"/>
    </row>
    <row r="19" spans="11:11" x14ac:dyDescent="0.3">
      <c r="K19" s="20"/>
    </row>
    <row r="20" spans="11:11" x14ac:dyDescent="0.3">
      <c r="K20" s="20"/>
    </row>
    <row r="21" spans="11:11" x14ac:dyDescent="0.3">
      <c r="K21" s="20"/>
    </row>
    <row r="22" spans="11:11" x14ac:dyDescent="0.3">
      <c r="K22" s="20"/>
    </row>
    <row r="23" spans="11:11" x14ac:dyDescent="0.3">
      <c r="K23" s="20"/>
    </row>
    <row r="24" spans="11:11" x14ac:dyDescent="0.3">
      <c r="K24" s="20"/>
    </row>
    <row r="25" spans="11:11" x14ac:dyDescent="0.3">
      <c r="K25" s="20"/>
    </row>
    <row r="26" spans="11:11" x14ac:dyDescent="0.3">
      <c r="K26" s="20"/>
    </row>
    <row r="27" spans="11:11" x14ac:dyDescent="0.3">
      <c r="K27" s="20"/>
    </row>
    <row r="28" spans="11:11" x14ac:dyDescent="0.3">
      <c r="K28" s="20"/>
    </row>
    <row r="29" spans="11:11" x14ac:dyDescent="0.3">
      <c r="K29" s="20"/>
    </row>
    <row r="30" spans="11:11" x14ac:dyDescent="0.3">
      <c r="K30" s="20"/>
    </row>
    <row r="31" spans="11:11" x14ac:dyDescent="0.3">
      <c r="K31" s="20"/>
    </row>
    <row r="32" spans="11:11" x14ac:dyDescent="0.3">
      <c r="K32" s="20"/>
    </row>
    <row r="33" spans="11:11" x14ac:dyDescent="0.3">
      <c r="K33" s="20"/>
    </row>
    <row r="34" spans="11:11" x14ac:dyDescent="0.3">
      <c r="K34" s="20"/>
    </row>
    <row r="35" spans="11:11" x14ac:dyDescent="0.3">
      <c r="K35" s="20"/>
    </row>
    <row r="36" spans="11:11" x14ac:dyDescent="0.3">
      <c r="K36" s="20"/>
    </row>
    <row r="37" spans="11:11" x14ac:dyDescent="0.3">
      <c r="K37" s="20"/>
    </row>
    <row r="38" spans="11:11" x14ac:dyDescent="0.3">
      <c r="K38" s="20"/>
    </row>
    <row r="39" spans="11:11" x14ac:dyDescent="0.3">
      <c r="K39" s="20"/>
    </row>
    <row r="40" spans="11:11" x14ac:dyDescent="0.3">
      <c r="K40" s="20"/>
    </row>
    <row r="41" spans="11:11" x14ac:dyDescent="0.3">
      <c r="K41" s="20"/>
    </row>
    <row r="42" spans="11:11" x14ac:dyDescent="0.3">
      <c r="K42" s="20"/>
    </row>
    <row r="43" spans="11:11" x14ac:dyDescent="0.3">
      <c r="K43" s="20"/>
    </row>
    <row r="44" spans="11:11" x14ac:dyDescent="0.3">
      <c r="K44" s="20"/>
    </row>
    <row r="45" spans="11:11" x14ac:dyDescent="0.3">
      <c r="K45" s="20"/>
    </row>
    <row r="46" spans="11:11" x14ac:dyDescent="0.3">
      <c r="K46" s="20"/>
    </row>
    <row r="47" spans="11:11" x14ac:dyDescent="0.3">
      <c r="K47" s="20"/>
    </row>
    <row r="48" spans="11:11" x14ac:dyDescent="0.3">
      <c r="K48" s="20"/>
    </row>
    <row r="49" spans="11:11" x14ac:dyDescent="0.3">
      <c r="K49" s="20"/>
    </row>
    <row r="50" spans="11:11" x14ac:dyDescent="0.3">
      <c r="K50" s="20"/>
    </row>
    <row r="51" spans="11:11" x14ac:dyDescent="0.3">
      <c r="K51" s="20"/>
    </row>
    <row r="52" spans="11:11" x14ac:dyDescent="0.3">
      <c r="K52" s="20"/>
    </row>
    <row r="53" spans="11:11" x14ac:dyDescent="0.3">
      <c r="K53" s="20"/>
    </row>
    <row r="54" spans="11:11" x14ac:dyDescent="0.3">
      <c r="K54" s="20"/>
    </row>
    <row r="55" spans="11:11" x14ac:dyDescent="0.3">
      <c r="K55" s="20"/>
    </row>
    <row r="56" spans="11:11" x14ac:dyDescent="0.3">
      <c r="K56" s="20"/>
    </row>
    <row r="57" spans="11:11" x14ac:dyDescent="0.3">
      <c r="K57" s="20"/>
    </row>
    <row r="58" spans="11:11" x14ac:dyDescent="0.3">
      <c r="K58" s="20"/>
    </row>
    <row r="59" spans="11:11" x14ac:dyDescent="0.3">
      <c r="K59" s="20"/>
    </row>
    <row r="60" spans="11:11" x14ac:dyDescent="0.3">
      <c r="K60" s="20"/>
    </row>
    <row r="61" spans="11:11" x14ac:dyDescent="0.3">
      <c r="K61" s="20"/>
    </row>
    <row r="62" spans="11:11" x14ac:dyDescent="0.3">
      <c r="K62" s="20"/>
    </row>
    <row r="63" spans="11:11" x14ac:dyDescent="0.3">
      <c r="K63" s="20"/>
    </row>
    <row r="64" spans="11:11" x14ac:dyDescent="0.3">
      <c r="K64" s="20"/>
    </row>
    <row r="65" spans="11:11" x14ac:dyDescent="0.3">
      <c r="K65" s="20"/>
    </row>
    <row r="66" spans="11:11" x14ac:dyDescent="0.3">
      <c r="K66" s="20"/>
    </row>
    <row r="67" spans="11:11" x14ac:dyDescent="0.3">
      <c r="K67" s="20"/>
    </row>
    <row r="68" spans="11:11" x14ac:dyDescent="0.3">
      <c r="K68" s="20"/>
    </row>
    <row r="69" spans="11:11" x14ac:dyDescent="0.3">
      <c r="K69" s="20"/>
    </row>
    <row r="70" spans="11:11" x14ac:dyDescent="0.3">
      <c r="K70" s="20"/>
    </row>
    <row r="71" spans="11:11" x14ac:dyDescent="0.3">
      <c r="K71" s="20"/>
    </row>
    <row r="72" spans="11:11" x14ac:dyDescent="0.3">
      <c r="K72" s="20"/>
    </row>
    <row r="73" spans="11:11" x14ac:dyDescent="0.3">
      <c r="K73" s="20"/>
    </row>
    <row r="74" spans="11:11" x14ac:dyDescent="0.3">
      <c r="K74" s="20"/>
    </row>
    <row r="75" spans="11:11" x14ac:dyDescent="0.3">
      <c r="K75" s="20"/>
    </row>
    <row r="76" spans="11:11" x14ac:dyDescent="0.3">
      <c r="K76" s="20"/>
    </row>
    <row r="77" spans="11:11" x14ac:dyDescent="0.3">
      <c r="K77" s="20"/>
    </row>
    <row r="78" spans="11:11" x14ac:dyDescent="0.3">
      <c r="K78" s="20"/>
    </row>
    <row r="79" spans="11:11" x14ac:dyDescent="0.3">
      <c r="K79" s="20"/>
    </row>
    <row r="80" spans="11:11" x14ac:dyDescent="0.3">
      <c r="K80" s="20"/>
    </row>
    <row r="81" spans="11:11" x14ac:dyDescent="0.3">
      <c r="K81" s="20"/>
    </row>
    <row r="82" spans="11:11" x14ac:dyDescent="0.3">
      <c r="K82" s="20"/>
    </row>
    <row r="83" spans="11:11" x14ac:dyDescent="0.3">
      <c r="K83" s="20"/>
    </row>
    <row r="84" spans="11:11" x14ac:dyDescent="0.3">
      <c r="K84" s="20"/>
    </row>
    <row r="85" spans="11:11" x14ac:dyDescent="0.3">
      <c r="K85" s="20"/>
    </row>
    <row r="86" spans="11:11" x14ac:dyDescent="0.3">
      <c r="K86" s="20"/>
    </row>
    <row r="87" spans="11:11" x14ac:dyDescent="0.3">
      <c r="K87" s="20"/>
    </row>
    <row r="88" spans="11:11" x14ac:dyDescent="0.3">
      <c r="K88" s="20"/>
    </row>
    <row r="89" spans="11:11" x14ac:dyDescent="0.3">
      <c r="K89" s="20"/>
    </row>
    <row r="90" spans="11:11" x14ac:dyDescent="0.3">
      <c r="K90" s="20"/>
    </row>
    <row r="91" spans="11:11" x14ac:dyDescent="0.3">
      <c r="K91" s="20"/>
    </row>
    <row r="92" spans="11:11" x14ac:dyDescent="0.3">
      <c r="K92" s="20"/>
    </row>
    <row r="93" spans="11:11" x14ac:dyDescent="0.3">
      <c r="K93" s="20"/>
    </row>
    <row r="94" spans="11:11" x14ac:dyDescent="0.3">
      <c r="K94" s="20"/>
    </row>
    <row r="95" spans="11:11" x14ac:dyDescent="0.3">
      <c r="K95" s="20"/>
    </row>
    <row r="96" spans="11:11" x14ac:dyDescent="0.3">
      <c r="K96" s="20"/>
    </row>
    <row r="97" spans="11:11" x14ac:dyDescent="0.3">
      <c r="K97" s="20"/>
    </row>
    <row r="98" spans="11:11" x14ac:dyDescent="0.3">
      <c r="K98" s="20"/>
    </row>
    <row r="99" spans="11:11" x14ac:dyDescent="0.3">
      <c r="K99" s="20"/>
    </row>
    <row r="100" spans="11:11" x14ac:dyDescent="0.3">
      <c r="K100" s="20"/>
    </row>
    <row r="101" spans="11:11" x14ac:dyDescent="0.3">
      <c r="K101" s="20"/>
    </row>
    <row r="102" spans="11:11" x14ac:dyDescent="0.3">
      <c r="K102" s="20"/>
    </row>
    <row r="103" spans="11:11" x14ac:dyDescent="0.3">
      <c r="K103" s="20"/>
    </row>
    <row r="104" spans="11:11" x14ac:dyDescent="0.3">
      <c r="K104" s="20"/>
    </row>
    <row r="105" spans="11:11" x14ac:dyDescent="0.3">
      <c r="K105" s="20"/>
    </row>
    <row r="106" spans="11:11" x14ac:dyDescent="0.3">
      <c r="K106" s="20"/>
    </row>
    <row r="107" spans="11:11" x14ac:dyDescent="0.3">
      <c r="K107" s="20"/>
    </row>
    <row r="108" spans="11:11" x14ac:dyDescent="0.3">
      <c r="K108" s="20"/>
    </row>
    <row r="109" spans="11:11" x14ac:dyDescent="0.3">
      <c r="K109" s="20"/>
    </row>
    <row r="110" spans="11:11" x14ac:dyDescent="0.3">
      <c r="K110" s="20"/>
    </row>
    <row r="111" spans="11:11" x14ac:dyDescent="0.3">
      <c r="K111" s="20"/>
    </row>
    <row r="112" spans="11:11" x14ac:dyDescent="0.3">
      <c r="K112" s="20"/>
    </row>
    <row r="113" spans="11:11" x14ac:dyDescent="0.3">
      <c r="K113" s="20"/>
    </row>
    <row r="114" spans="11:11" x14ac:dyDescent="0.3">
      <c r="K114" s="20"/>
    </row>
    <row r="115" spans="11:11" x14ac:dyDescent="0.3">
      <c r="K115" s="20"/>
    </row>
    <row r="116" spans="11:11" x14ac:dyDescent="0.3">
      <c r="K116" s="20"/>
    </row>
    <row r="117" spans="11:11" x14ac:dyDescent="0.3">
      <c r="K117" s="20"/>
    </row>
    <row r="118" spans="11:11" x14ac:dyDescent="0.3">
      <c r="K118" s="20"/>
    </row>
    <row r="119" spans="11:11" x14ac:dyDescent="0.3">
      <c r="K119" s="20"/>
    </row>
    <row r="120" spans="11:11" x14ac:dyDescent="0.3">
      <c r="K120" s="20"/>
    </row>
    <row r="121" spans="11:11" x14ac:dyDescent="0.3">
      <c r="K121" s="20"/>
    </row>
    <row r="122" spans="11:11" x14ac:dyDescent="0.3">
      <c r="K122" s="20"/>
    </row>
    <row r="123" spans="11:11" x14ac:dyDescent="0.3">
      <c r="K123" s="20"/>
    </row>
    <row r="124" spans="11:11" x14ac:dyDescent="0.3">
      <c r="K124" s="20"/>
    </row>
    <row r="125" spans="11:11" x14ac:dyDescent="0.3">
      <c r="K125" s="20"/>
    </row>
    <row r="126" spans="11:11" x14ac:dyDescent="0.3">
      <c r="K126" s="20"/>
    </row>
    <row r="127" spans="11:11" x14ac:dyDescent="0.3">
      <c r="K127" s="20"/>
    </row>
    <row r="128" spans="11:11" x14ac:dyDescent="0.3">
      <c r="K128" s="20"/>
    </row>
    <row r="129" spans="11:11" x14ac:dyDescent="0.3">
      <c r="K129" s="20"/>
    </row>
    <row r="130" spans="11:11" x14ac:dyDescent="0.3">
      <c r="K130" s="20"/>
    </row>
    <row r="131" spans="11:11" x14ac:dyDescent="0.3">
      <c r="K131" s="20"/>
    </row>
    <row r="132" spans="11:11" x14ac:dyDescent="0.3">
      <c r="K132" s="20"/>
    </row>
    <row r="133" spans="11:11" x14ac:dyDescent="0.3">
      <c r="K133" s="20"/>
    </row>
    <row r="134" spans="11:11" x14ac:dyDescent="0.3">
      <c r="K134" s="20"/>
    </row>
    <row r="135" spans="11:11" x14ac:dyDescent="0.3">
      <c r="K135" s="20"/>
    </row>
    <row r="136" spans="11:11" x14ac:dyDescent="0.3">
      <c r="K136" s="20"/>
    </row>
    <row r="137" spans="11:11" x14ac:dyDescent="0.3">
      <c r="K137" s="20"/>
    </row>
    <row r="138" spans="11:11" x14ac:dyDescent="0.3">
      <c r="K138" s="20"/>
    </row>
    <row r="139" spans="11:11" x14ac:dyDescent="0.3">
      <c r="K139" s="20"/>
    </row>
    <row r="140" spans="11:11" x14ac:dyDescent="0.3">
      <c r="K140" s="20"/>
    </row>
    <row r="141" spans="11:11" x14ac:dyDescent="0.3">
      <c r="K141" s="20"/>
    </row>
    <row r="142" spans="11:11" x14ac:dyDescent="0.3">
      <c r="K142" s="20"/>
    </row>
    <row r="143" spans="11:11" x14ac:dyDescent="0.3">
      <c r="K143" s="20"/>
    </row>
    <row r="144" spans="11:11" x14ac:dyDescent="0.3">
      <c r="K144" s="20"/>
    </row>
    <row r="145" spans="11:11" x14ac:dyDescent="0.3">
      <c r="K145" s="20"/>
    </row>
    <row r="146" spans="11:11" x14ac:dyDescent="0.3">
      <c r="K146" s="20"/>
    </row>
    <row r="147" spans="11:11" x14ac:dyDescent="0.3">
      <c r="K147" s="20"/>
    </row>
    <row r="148" spans="11:11" x14ac:dyDescent="0.3">
      <c r="K148" s="20"/>
    </row>
    <row r="149" spans="11:11" x14ac:dyDescent="0.3">
      <c r="K149" s="20"/>
    </row>
    <row r="150" spans="11:11" x14ac:dyDescent="0.3">
      <c r="K150" s="20"/>
    </row>
    <row r="151" spans="11:11" x14ac:dyDescent="0.3">
      <c r="K151" s="20"/>
    </row>
    <row r="152" spans="11:11" x14ac:dyDescent="0.3">
      <c r="K152" s="20"/>
    </row>
    <row r="153" spans="11:11" x14ac:dyDescent="0.3">
      <c r="K153" s="20"/>
    </row>
    <row r="154" spans="11:11" x14ac:dyDescent="0.3">
      <c r="K154" s="20"/>
    </row>
    <row r="155" spans="11:11" x14ac:dyDescent="0.3">
      <c r="K155" s="20"/>
    </row>
    <row r="156" spans="11:11" x14ac:dyDescent="0.3">
      <c r="K156" s="20"/>
    </row>
    <row r="157" spans="11:11" x14ac:dyDescent="0.3">
      <c r="K157" s="20"/>
    </row>
    <row r="158" spans="11:11" x14ac:dyDescent="0.3">
      <c r="K158" s="20"/>
    </row>
    <row r="159" spans="11:11" x14ac:dyDescent="0.3">
      <c r="K159" s="20"/>
    </row>
    <row r="160" spans="11:11" x14ac:dyDescent="0.3">
      <c r="K160" s="20"/>
    </row>
    <row r="161" spans="11:11" x14ac:dyDescent="0.3">
      <c r="K161" s="20"/>
    </row>
    <row r="162" spans="11:11" x14ac:dyDescent="0.3">
      <c r="K162" s="20"/>
    </row>
    <row r="163" spans="11:11" x14ac:dyDescent="0.3">
      <c r="K163" s="20"/>
    </row>
    <row r="164" spans="11:11" x14ac:dyDescent="0.3">
      <c r="K164" s="20"/>
    </row>
    <row r="165" spans="11:11" x14ac:dyDescent="0.3">
      <c r="K165" s="20"/>
    </row>
    <row r="166" spans="11:11" x14ac:dyDescent="0.3">
      <c r="K166" s="20"/>
    </row>
    <row r="167" spans="11:11" x14ac:dyDescent="0.3">
      <c r="K167" s="20"/>
    </row>
    <row r="168" spans="11:11" x14ac:dyDescent="0.3">
      <c r="K168" s="20"/>
    </row>
    <row r="169" spans="11:11" x14ac:dyDescent="0.3">
      <c r="K169" s="20"/>
    </row>
    <row r="170" spans="11:11" x14ac:dyDescent="0.3">
      <c r="K170" s="20"/>
    </row>
    <row r="171" spans="11:11" x14ac:dyDescent="0.3">
      <c r="K171" s="20"/>
    </row>
    <row r="172" spans="11:11" x14ac:dyDescent="0.3">
      <c r="K172" s="20"/>
    </row>
    <row r="173" spans="11:11" x14ac:dyDescent="0.3">
      <c r="K173" s="20"/>
    </row>
    <row r="174" spans="11:11" x14ac:dyDescent="0.3">
      <c r="K174" s="20"/>
    </row>
    <row r="175" spans="11:11" x14ac:dyDescent="0.3">
      <c r="K175" s="20"/>
    </row>
    <row r="176" spans="11:11" x14ac:dyDescent="0.3">
      <c r="K176" s="20"/>
    </row>
    <row r="177" spans="11:11" x14ac:dyDescent="0.3">
      <c r="K177" s="20"/>
    </row>
    <row r="178" spans="11:11" x14ac:dyDescent="0.3">
      <c r="K178" s="20"/>
    </row>
    <row r="179" spans="11:11" x14ac:dyDescent="0.3">
      <c r="K179" s="20"/>
    </row>
    <row r="180" spans="11:11" x14ac:dyDescent="0.3">
      <c r="K180" s="20"/>
    </row>
    <row r="181" spans="11:11" x14ac:dyDescent="0.3">
      <c r="K181" s="20"/>
    </row>
    <row r="182" spans="11:11" x14ac:dyDescent="0.3">
      <c r="K182" s="20"/>
    </row>
    <row r="183" spans="11:11" x14ac:dyDescent="0.3">
      <c r="K183" s="20"/>
    </row>
    <row r="184" spans="11:11" x14ac:dyDescent="0.3">
      <c r="K184" s="20"/>
    </row>
    <row r="185" spans="11:11" x14ac:dyDescent="0.3">
      <c r="K185" s="20"/>
    </row>
    <row r="186" spans="11:11" x14ac:dyDescent="0.3">
      <c r="K186" s="20"/>
    </row>
    <row r="187" spans="11:11" x14ac:dyDescent="0.3">
      <c r="K187" s="20"/>
    </row>
    <row r="188" spans="11:11" x14ac:dyDescent="0.3">
      <c r="K188" s="20"/>
    </row>
    <row r="189" spans="11:11" x14ac:dyDescent="0.3">
      <c r="K189" s="20"/>
    </row>
    <row r="190" spans="11:11" x14ac:dyDescent="0.3">
      <c r="K190" s="20"/>
    </row>
    <row r="191" spans="11:11" x14ac:dyDescent="0.3">
      <c r="K191" s="20"/>
    </row>
    <row r="192" spans="11:11" x14ac:dyDescent="0.3">
      <c r="K192" s="20"/>
    </row>
    <row r="193" spans="11:11" x14ac:dyDescent="0.3">
      <c r="K193" s="20"/>
    </row>
    <row r="194" spans="11:11" x14ac:dyDescent="0.3">
      <c r="K194" s="20"/>
    </row>
    <row r="195" spans="11:11" x14ac:dyDescent="0.3">
      <c r="K195" s="20"/>
    </row>
    <row r="196" spans="11:11" x14ac:dyDescent="0.3">
      <c r="K196" s="20"/>
    </row>
    <row r="197" spans="11:11" x14ac:dyDescent="0.3">
      <c r="K197" s="20"/>
    </row>
    <row r="198" spans="11:11" x14ac:dyDescent="0.3">
      <c r="K198" s="20"/>
    </row>
    <row r="199" spans="11:11" x14ac:dyDescent="0.3">
      <c r="K199" s="20"/>
    </row>
    <row r="200" spans="11:11" x14ac:dyDescent="0.3">
      <c r="K200" s="20"/>
    </row>
    <row r="201" spans="11:11" x14ac:dyDescent="0.3">
      <c r="K201" s="20"/>
    </row>
    <row r="202" spans="11:11" x14ac:dyDescent="0.3">
      <c r="K202" s="20"/>
    </row>
    <row r="203" spans="11:11" x14ac:dyDescent="0.3">
      <c r="K203" s="20"/>
    </row>
    <row r="204" spans="11:11" x14ac:dyDescent="0.3">
      <c r="K204" s="20"/>
    </row>
    <row r="205" spans="11:11" x14ac:dyDescent="0.3">
      <c r="K205" s="20"/>
    </row>
    <row r="206" spans="11:11" x14ac:dyDescent="0.3">
      <c r="K206" s="20"/>
    </row>
    <row r="207" spans="11:11" x14ac:dyDescent="0.3">
      <c r="K207" s="20"/>
    </row>
    <row r="208" spans="11:11" x14ac:dyDescent="0.3">
      <c r="K208" s="20"/>
    </row>
    <row r="209" spans="11:11" x14ac:dyDescent="0.3">
      <c r="K209" s="20"/>
    </row>
    <row r="210" spans="11:11" x14ac:dyDescent="0.3">
      <c r="K210" s="20"/>
    </row>
    <row r="211" spans="11:11" x14ac:dyDescent="0.3">
      <c r="K211" s="20"/>
    </row>
    <row r="212" spans="11:11" x14ac:dyDescent="0.3">
      <c r="K212" s="20"/>
    </row>
    <row r="213" spans="11:11" x14ac:dyDescent="0.3">
      <c r="K213" s="20"/>
    </row>
    <row r="214" spans="11:11" x14ac:dyDescent="0.3">
      <c r="K214" s="20"/>
    </row>
    <row r="215" spans="11:11" x14ac:dyDescent="0.3">
      <c r="K215" s="20"/>
    </row>
    <row r="216" spans="11:11" x14ac:dyDescent="0.3">
      <c r="K216" s="20"/>
    </row>
    <row r="217" spans="11:11" x14ac:dyDescent="0.3">
      <c r="K217" s="20"/>
    </row>
    <row r="218" spans="11:11" x14ac:dyDescent="0.3">
      <c r="K218" s="20"/>
    </row>
    <row r="219" spans="11:11" x14ac:dyDescent="0.3">
      <c r="K219" s="20"/>
    </row>
    <row r="220" spans="11:11" x14ac:dyDescent="0.3">
      <c r="K220" s="20"/>
    </row>
    <row r="221" spans="11:11" x14ac:dyDescent="0.3">
      <c r="K221" s="20"/>
    </row>
    <row r="222" spans="11:11" x14ac:dyDescent="0.3">
      <c r="K222" s="20"/>
    </row>
    <row r="223" spans="11:11" x14ac:dyDescent="0.3">
      <c r="K223" s="20"/>
    </row>
    <row r="224" spans="11:11" x14ac:dyDescent="0.3">
      <c r="K224" s="20"/>
    </row>
    <row r="225" spans="11:11" x14ac:dyDescent="0.3">
      <c r="K225" s="20"/>
    </row>
    <row r="226" spans="11:11" x14ac:dyDescent="0.3">
      <c r="K226" s="20"/>
    </row>
    <row r="227" spans="11:11" x14ac:dyDescent="0.3">
      <c r="K227" s="20"/>
    </row>
    <row r="228" spans="11:11" x14ac:dyDescent="0.3">
      <c r="K228" s="20"/>
    </row>
    <row r="229" spans="11:11" x14ac:dyDescent="0.3">
      <c r="K229" s="20"/>
    </row>
    <row r="230" spans="11:11" x14ac:dyDescent="0.3">
      <c r="K230" s="20"/>
    </row>
    <row r="231" spans="11:11" x14ac:dyDescent="0.3">
      <c r="K231" s="20"/>
    </row>
    <row r="232" spans="11:11" x14ac:dyDescent="0.3">
      <c r="K232" s="20"/>
    </row>
    <row r="233" spans="11:11" x14ac:dyDescent="0.3">
      <c r="K233" s="20"/>
    </row>
    <row r="234" spans="11:11" x14ac:dyDescent="0.3">
      <c r="K234" s="20"/>
    </row>
    <row r="235" spans="11:11" x14ac:dyDescent="0.3">
      <c r="K235" s="20"/>
    </row>
    <row r="236" spans="11:11" x14ac:dyDescent="0.3">
      <c r="K236" s="20"/>
    </row>
    <row r="237" spans="11:11" x14ac:dyDescent="0.3">
      <c r="K237" s="20"/>
    </row>
    <row r="238" spans="11:11" x14ac:dyDescent="0.3">
      <c r="K238" s="20"/>
    </row>
    <row r="239" spans="11:11" x14ac:dyDescent="0.3">
      <c r="K239" s="20"/>
    </row>
    <row r="240" spans="11:11" x14ac:dyDescent="0.3">
      <c r="K240" s="20"/>
    </row>
    <row r="241" spans="11:11" x14ac:dyDescent="0.3">
      <c r="K241" s="20"/>
    </row>
    <row r="242" spans="11:11" x14ac:dyDescent="0.3">
      <c r="K242" s="20"/>
    </row>
    <row r="243" spans="11:11" x14ac:dyDescent="0.3">
      <c r="K243" s="20"/>
    </row>
    <row r="244" spans="11:11" x14ac:dyDescent="0.3">
      <c r="K244" s="20"/>
    </row>
    <row r="245" spans="11:11" x14ac:dyDescent="0.3">
      <c r="K245" s="20"/>
    </row>
    <row r="246" spans="11:11" x14ac:dyDescent="0.3">
      <c r="K246" s="20"/>
    </row>
    <row r="247" spans="11:11" x14ac:dyDescent="0.3">
      <c r="K247" s="20"/>
    </row>
    <row r="248" spans="11:11" x14ac:dyDescent="0.3">
      <c r="K248" s="20"/>
    </row>
    <row r="249" spans="11:11" x14ac:dyDescent="0.3">
      <c r="K249" s="20"/>
    </row>
    <row r="250" spans="11:11" x14ac:dyDescent="0.3">
      <c r="K250" s="20"/>
    </row>
  </sheetData>
  <sheetProtection sort="0" autoFilter="0" pivotTables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"/>
  <sheetViews>
    <sheetView zoomScale="90" zoomScaleNormal="90" workbookViewId="0">
      <selection activeCell="K62" sqref="K2:K62"/>
    </sheetView>
  </sheetViews>
  <sheetFormatPr defaultRowHeight="14.4" x14ac:dyDescent="0.3"/>
  <cols>
    <col min="1" max="1" width="16.33203125" bestFit="1" customWidth="1"/>
    <col min="2" max="2" width="37.88671875" bestFit="1" customWidth="1"/>
    <col min="3" max="3" width="16.109375" style="2" bestFit="1" customWidth="1"/>
    <col min="4" max="4" width="20" style="21" customWidth="1"/>
    <col min="5" max="5" width="16.44140625" bestFit="1" customWidth="1"/>
    <col min="6" max="6" width="18.6640625" style="21" bestFit="1" customWidth="1"/>
    <col min="7" max="7" width="19.44140625" customWidth="1"/>
    <col min="8" max="8" width="18.109375" style="6" customWidth="1"/>
    <col min="9" max="9" width="17.6640625" style="2" bestFit="1" customWidth="1"/>
    <col min="10" max="10" width="12.44140625" style="19" bestFit="1" customWidth="1"/>
    <col min="11" max="11" width="20.109375" customWidth="1"/>
    <col min="12" max="12" width="47.88671875" customWidth="1"/>
    <col min="13" max="13" width="27.6640625" style="26" bestFit="1" customWidth="1"/>
    <col min="14" max="14" width="9.109375" customWidth="1"/>
  </cols>
  <sheetData>
    <row r="1" spans="1:13" x14ac:dyDescent="0.3">
      <c r="A1" t="s">
        <v>0</v>
      </c>
      <c r="B1" t="s">
        <v>13</v>
      </c>
      <c r="C1" s="2" t="s">
        <v>2</v>
      </c>
      <c r="D1" s="21" t="s">
        <v>14</v>
      </c>
      <c r="E1" t="s">
        <v>4</v>
      </c>
      <c r="F1" s="21" t="s">
        <v>5</v>
      </c>
      <c r="G1" s="26" t="s">
        <v>6</v>
      </c>
      <c r="H1" s="6" t="s">
        <v>7</v>
      </c>
      <c r="I1" s="2" t="s">
        <v>8</v>
      </c>
      <c r="J1" s="19" t="s">
        <v>9</v>
      </c>
      <c r="K1" t="s">
        <v>15</v>
      </c>
      <c r="L1" t="s">
        <v>11</v>
      </c>
      <c r="M1" s="26" t="s">
        <v>12</v>
      </c>
    </row>
    <row r="2" spans="1:13" x14ac:dyDescent="0.3">
      <c r="A2" s="73"/>
      <c r="C2" s="74"/>
      <c r="G2" s="26"/>
      <c r="I2" s="42"/>
      <c r="K2" s="20" t="b">
        <v>0</v>
      </c>
    </row>
    <row r="3" spans="1:13" x14ac:dyDescent="0.3">
      <c r="A3" s="73"/>
      <c r="C3" s="74"/>
      <c r="G3" s="26"/>
      <c r="I3" s="42"/>
      <c r="K3" s="20" t="b">
        <v>0</v>
      </c>
    </row>
    <row r="4" spans="1:13" x14ac:dyDescent="0.3">
      <c r="A4" s="73"/>
      <c r="C4" s="74"/>
      <c r="G4" s="26"/>
      <c r="I4" s="42"/>
      <c r="K4" s="20" t="b">
        <v>0</v>
      </c>
    </row>
    <row r="5" spans="1:13" x14ac:dyDescent="0.3">
      <c r="A5" s="73"/>
      <c r="C5" s="74"/>
      <c r="G5" s="26"/>
      <c r="I5" s="42"/>
      <c r="K5" s="20" t="b">
        <v>0</v>
      </c>
    </row>
    <row r="6" spans="1:13" x14ac:dyDescent="0.3">
      <c r="A6" s="73"/>
      <c r="C6" s="74"/>
      <c r="G6" s="26"/>
      <c r="I6" s="42"/>
      <c r="K6" s="20" t="b">
        <v>0</v>
      </c>
    </row>
    <row r="7" spans="1:13" x14ac:dyDescent="0.3">
      <c r="A7" s="73"/>
      <c r="C7" s="74"/>
      <c r="G7" s="26"/>
      <c r="I7" s="42"/>
      <c r="K7" s="20" t="b">
        <v>0</v>
      </c>
    </row>
    <row r="8" spans="1:13" x14ac:dyDescent="0.3">
      <c r="A8" s="73"/>
      <c r="C8" s="74"/>
      <c r="G8" s="26"/>
      <c r="I8" s="42"/>
      <c r="K8" s="20" t="b">
        <v>0</v>
      </c>
    </row>
    <row r="9" spans="1:13" x14ac:dyDescent="0.3">
      <c r="A9" s="73"/>
      <c r="C9" s="74"/>
      <c r="G9" s="26"/>
      <c r="I9" s="42"/>
      <c r="K9" s="20" t="b">
        <v>0</v>
      </c>
    </row>
    <row r="10" spans="1:13" x14ac:dyDescent="0.3">
      <c r="A10" s="73"/>
      <c r="C10" s="74"/>
      <c r="G10" s="26"/>
      <c r="I10" s="42"/>
      <c r="K10" s="20" t="b">
        <v>0</v>
      </c>
    </row>
    <row r="11" spans="1:13" x14ac:dyDescent="0.3">
      <c r="A11" s="73"/>
      <c r="C11" s="74"/>
      <c r="G11" s="26"/>
      <c r="I11" s="42"/>
      <c r="K11" s="20" t="b">
        <v>0</v>
      </c>
    </row>
    <row r="12" spans="1:13" x14ac:dyDescent="0.3">
      <c r="A12" s="73"/>
      <c r="C12" s="74"/>
      <c r="G12" s="26"/>
      <c r="I12" s="42"/>
      <c r="K12" s="20" t="b">
        <v>0</v>
      </c>
    </row>
    <row r="13" spans="1:13" x14ac:dyDescent="0.3">
      <c r="A13" s="73"/>
      <c r="C13" s="74"/>
      <c r="G13" s="26"/>
      <c r="I13" s="42"/>
      <c r="K13" s="20" t="b">
        <v>0</v>
      </c>
    </row>
    <row r="14" spans="1:13" x14ac:dyDescent="0.3">
      <c r="A14" s="73"/>
      <c r="C14" s="74"/>
      <c r="G14" s="26"/>
      <c r="I14" s="42"/>
      <c r="K14" s="20" t="b">
        <v>0</v>
      </c>
    </row>
    <row r="15" spans="1:13" x14ac:dyDescent="0.3">
      <c r="A15" s="73"/>
      <c r="C15" s="74"/>
      <c r="G15" s="26"/>
      <c r="I15" s="42"/>
      <c r="K15" s="20" t="b">
        <v>0</v>
      </c>
    </row>
    <row r="16" spans="1:13" x14ac:dyDescent="0.3">
      <c r="A16" s="73"/>
      <c r="C16" s="74"/>
      <c r="G16" s="26"/>
      <c r="I16" s="42"/>
      <c r="K16" s="20" t="b">
        <v>0</v>
      </c>
    </row>
    <row r="17" spans="1:11" x14ac:dyDescent="0.3">
      <c r="A17" s="73"/>
      <c r="C17" s="74"/>
      <c r="G17" s="26"/>
      <c r="I17" s="42"/>
      <c r="K17" s="20" t="b">
        <v>0</v>
      </c>
    </row>
    <row r="18" spans="1:11" x14ac:dyDescent="0.3">
      <c r="A18" s="73"/>
      <c r="C18" s="74"/>
      <c r="G18" s="26"/>
      <c r="I18" s="42"/>
      <c r="K18" s="20" t="b">
        <v>0</v>
      </c>
    </row>
    <row r="19" spans="1:11" x14ac:dyDescent="0.3">
      <c r="A19" s="73"/>
      <c r="C19" s="74"/>
      <c r="G19" s="26"/>
      <c r="I19" s="42"/>
      <c r="K19" s="20" t="b">
        <v>0</v>
      </c>
    </row>
    <row r="20" spans="1:11" x14ac:dyDescent="0.3">
      <c r="A20" s="73"/>
      <c r="C20" s="74"/>
      <c r="G20" s="26"/>
      <c r="I20" s="42"/>
      <c r="K20" s="20" t="b">
        <v>0</v>
      </c>
    </row>
    <row r="21" spans="1:11" x14ac:dyDescent="0.3">
      <c r="A21" s="73"/>
      <c r="C21" s="74"/>
      <c r="G21" s="26"/>
      <c r="I21" s="42"/>
      <c r="K21" s="20" t="b">
        <v>0</v>
      </c>
    </row>
    <row r="22" spans="1:11" x14ac:dyDescent="0.3">
      <c r="A22" s="73"/>
      <c r="C22" s="74"/>
      <c r="G22" s="26"/>
      <c r="I22" s="42"/>
      <c r="K22" s="20" t="b">
        <v>0</v>
      </c>
    </row>
    <row r="23" spans="1:11" x14ac:dyDescent="0.3">
      <c r="A23" s="73"/>
      <c r="C23" s="74"/>
      <c r="G23" s="26"/>
      <c r="I23" s="42"/>
      <c r="K23" s="20" t="b">
        <v>0</v>
      </c>
    </row>
    <row r="24" spans="1:11" x14ac:dyDescent="0.3">
      <c r="A24" s="73"/>
      <c r="C24" s="74"/>
      <c r="G24" s="26"/>
      <c r="I24" s="42"/>
      <c r="K24" s="20" t="b">
        <v>0</v>
      </c>
    </row>
    <row r="25" spans="1:11" x14ac:dyDescent="0.3">
      <c r="A25" s="73"/>
      <c r="C25" s="74"/>
      <c r="G25" s="26"/>
      <c r="I25" s="42"/>
      <c r="K25" s="20" t="b">
        <v>0</v>
      </c>
    </row>
    <row r="26" spans="1:11" x14ac:dyDescent="0.3">
      <c r="A26" s="73"/>
      <c r="C26" s="74"/>
      <c r="G26" s="26"/>
      <c r="I26" s="42"/>
      <c r="K26" s="20" t="b">
        <v>0</v>
      </c>
    </row>
    <row r="27" spans="1:11" x14ac:dyDescent="0.3">
      <c r="A27" s="73"/>
      <c r="C27" s="74"/>
      <c r="G27" s="26"/>
      <c r="I27" s="42"/>
      <c r="K27" s="20" t="b">
        <v>0</v>
      </c>
    </row>
    <row r="28" spans="1:11" x14ac:dyDescent="0.3">
      <c r="A28" s="73"/>
      <c r="C28" s="74"/>
      <c r="G28" s="26"/>
      <c r="I28" s="42"/>
      <c r="K28" s="20" t="b">
        <v>0</v>
      </c>
    </row>
    <row r="29" spans="1:11" x14ac:dyDescent="0.3">
      <c r="A29" s="73"/>
      <c r="C29" s="74"/>
      <c r="G29" s="26"/>
      <c r="I29" s="42"/>
      <c r="K29" s="20" t="b">
        <v>0</v>
      </c>
    </row>
    <row r="30" spans="1:11" x14ac:dyDescent="0.3">
      <c r="A30" s="73"/>
      <c r="C30" s="74"/>
      <c r="G30" s="26"/>
      <c r="I30" s="42"/>
      <c r="K30" s="20" t="b">
        <v>0</v>
      </c>
    </row>
    <row r="31" spans="1:11" x14ac:dyDescent="0.3">
      <c r="A31" s="73"/>
      <c r="C31" s="74"/>
      <c r="G31" s="26"/>
      <c r="I31" s="42"/>
      <c r="K31" s="20" t="b">
        <v>0</v>
      </c>
    </row>
    <row r="32" spans="1:11" x14ac:dyDescent="0.3">
      <c r="A32" s="73"/>
      <c r="C32" s="74"/>
      <c r="G32" s="26"/>
      <c r="I32" s="42"/>
      <c r="K32" s="20" t="b">
        <v>0</v>
      </c>
    </row>
    <row r="33" spans="1:11" x14ac:dyDescent="0.3">
      <c r="A33" s="73"/>
      <c r="C33" s="74"/>
      <c r="G33" s="26"/>
      <c r="I33" s="42"/>
      <c r="K33" s="20" t="b">
        <v>0</v>
      </c>
    </row>
    <row r="34" spans="1:11" x14ac:dyDescent="0.3">
      <c r="A34" s="73"/>
      <c r="C34" s="74"/>
      <c r="G34" s="26"/>
      <c r="I34" s="42"/>
      <c r="K34" s="20" t="b">
        <v>0</v>
      </c>
    </row>
    <row r="35" spans="1:11" x14ac:dyDescent="0.3">
      <c r="A35" s="73"/>
      <c r="C35" s="74"/>
      <c r="G35" s="26"/>
      <c r="I35" s="42"/>
      <c r="K35" s="20" t="b">
        <v>0</v>
      </c>
    </row>
    <row r="36" spans="1:11" x14ac:dyDescent="0.3">
      <c r="A36" s="73"/>
      <c r="C36" s="74"/>
      <c r="G36" s="26"/>
      <c r="I36" s="42"/>
      <c r="K36" s="20" t="b">
        <v>0</v>
      </c>
    </row>
    <row r="37" spans="1:11" x14ac:dyDescent="0.3">
      <c r="A37" s="73"/>
      <c r="C37" s="74"/>
      <c r="G37" s="26"/>
      <c r="I37" s="42"/>
      <c r="K37" s="20" t="b">
        <v>0</v>
      </c>
    </row>
    <row r="38" spans="1:11" x14ac:dyDescent="0.3">
      <c r="A38" s="73"/>
      <c r="C38" s="74"/>
      <c r="G38" s="26"/>
      <c r="I38" s="42"/>
      <c r="K38" s="20" t="b">
        <v>0</v>
      </c>
    </row>
    <row r="39" spans="1:11" x14ac:dyDescent="0.3">
      <c r="A39" s="73"/>
      <c r="C39" s="74"/>
      <c r="G39" s="26"/>
      <c r="I39" s="42"/>
      <c r="K39" s="20" t="b">
        <v>0</v>
      </c>
    </row>
    <row r="40" spans="1:11" x14ac:dyDescent="0.3">
      <c r="A40" s="73"/>
      <c r="C40" s="74"/>
      <c r="G40" s="26"/>
      <c r="I40" s="42"/>
      <c r="K40" s="20" t="b">
        <v>0</v>
      </c>
    </row>
    <row r="41" spans="1:11" x14ac:dyDescent="0.3">
      <c r="A41" s="73"/>
      <c r="C41" s="74"/>
      <c r="G41" s="26"/>
      <c r="I41" s="42"/>
      <c r="K41" s="20" t="b">
        <v>0</v>
      </c>
    </row>
    <row r="42" spans="1:11" x14ac:dyDescent="0.3">
      <c r="A42" s="73"/>
      <c r="C42" s="74"/>
      <c r="G42" s="26"/>
      <c r="I42" s="42"/>
      <c r="K42" s="20" t="b">
        <v>0</v>
      </c>
    </row>
    <row r="43" spans="1:11" x14ac:dyDescent="0.3">
      <c r="A43" s="73"/>
      <c r="C43" s="74"/>
      <c r="G43" s="26"/>
      <c r="I43" s="42"/>
      <c r="K43" s="20" t="b">
        <v>0</v>
      </c>
    </row>
    <row r="44" spans="1:11" x14ac:dyDescent="0.3">
      <c r="A44" s="73"/>
      <c r="C44" s="74"/>
      <c r="G44" s="26"/>
      <c r="I44" s="42"/>
      <c r="K44" s="20" t="b">
        <v>0</v>
      </c>
    </row>
    <row r="45" spans="1:11" x14ac:dyDescent="0.3">
      <c r="A45" s="73"/>
      <c r="C45" s="74"/>
      <c r="G45" s="26"/>
      <c r="I45" s="42"/>
      <c r="K45" s="20" t="b">
        <v>0</v>
      </c>
    </row>
    <row r="46" spans="1:11" x14ac:dyDescent="0.3">
      <c r="A46" s="73"/>
      <c r="C46" s="74"/>
      <c r="G46" s="26"/>
      <c r="I46" s="42"/>
      <c r="K46" s="20" t="b">
        <v>0</v>
      </c>
    </row>
    <row r="47" spans="1:11" x14ac:dyDescent="0.3">
      <c r="A47" s="73"/>
      <c r="C47" s="74"/>
      <c r="G47" s="26"/>
      <c r="I47" s="42"/>
      <c r="K47" s="20" t="b">
        <v>0</v>
      </c>
    </row>
    <row r="48" spans="1:11" x14ac:dyDescent="0.3">
      <c r="A48" s="73"/>
      <c r="C48" s="74"/>
      <c r="G48" s="26"/>
      <c r="I48" s="42"/>
      <c r="K48" s="20" t="b">
        <v>0</v>
      </c>
    </row>
    <row r="49" spans="1:13" x14ac:dyDescent="0.3">
      <c r="A49" s="73"/>
      <c r="C49" s="74"/>
      <c r="G49" s="26"/>
      <c r="I49" s="42"/>
      <c r="K49" s="20" t="b">
        <v>0</v>
      </c>
    </row>
    <row r="50" spans="1:13" x14ac:dyDescent="0.3">
      <c r="A50" s="73"/>
      <c r="C50" s="74"/>
      <c r="G50" s="26"/>
      <c r="I50" s="42"/>
      <c r="K50" s="20" t="b">
        <v>0</v>
      </c>
    </row>
    <row r="51" spans="1:13" x14ac:dyDescent="0.3">
      <c r="A51" s="73"/>
      <c r="C51" s="74"/>
      <c r="G51" s="26"/>
      <c r="I51" s="42"/>
      <c r="K51" s="20" t="b">
        <v>0</v>
      </c>
    </row>
    <row r="52" spans="1:13" x14ac:dyDescent="0.3">
      <c r="A52" s="73"/>
      <c r="C52" s="74"/>
      <c r="G52" s="26"/>
      <c r="I52" s="42"/>
      <c r="K52" s="20" t="b">
        <v>0</v>
      </c>
    </row>
    <row r="53" spans="1:13" x14ac:dyDescent="0.3">
      <c r="A53" s="73"/>
      <c r="C53" s="74"/>
      <c r="G53" s="26"/>
      <c r="I53" s="42"/>
      <c r="K53" s="20" t="b">
        <v>0</v>
      </c>
    </row>
    <row r="54" spans="1:13" x14ac:dyDescent="0.3">
      <c r="A54" s="73"/>
      <c r="C54" s="74"/>
      <c r="G54" s="26"/>
      <c r="I54" s="42"/>
      <c r="K54" s="20" t="b">
        <v>0</v>
      </c>
    </row>
    <row r="55" spans="1:13" x14ac:dyDescent="0.3">
      <c r="A55" s="73"/>
      <c r="C55" s="74"/>
      <c r="G55" s="26"/>
      <c r="I55" s="42"/>
      <c r="K55" s="20" t="b">
        <v>0</v>
      </c>
    </row>
    <row r="56" spans="1:13" x14ac:dyDescent="0.3">
      <c r="A56" s="73"/>
      <c r="C56" s="74"/>
      <c r="G56" s="26"/>
      <c r="I56" s="42"/>
      <c r="K56" s="20" t="b">
        <v>0</v>
      </c>
    </row>
    <row r="57" spans="1:13" x14ac:dyDescent="0.3">
      <c r="A57" s="73"/>
      <c r="C57" s="74"/>
      <c r="G57" s="26"/>
      <c r="I57" s="42"/>
      <c r="K57" s="20" t="b">
        <v>0</v>
      </c>
    </row>
    <row r="58" spans="1:13" x14ac:dyDescent="0.3">
      <c r="A58" s="73"/>
      <c r="C58" s="74"/>
      <c r="G58" s="26"/>
      <c r="I58" s="42"/>
      <c r="K58" s="20" t="b">
        <v>0</v>
      </c>
    </row>
    <row r="59" spans="1:13" x14ac:dyDescent="0.3">
      <c r="A59" s="73"/>
      <c r="C59" s="74"/>
      <c r="G59" s="26"/>
      <c r="I59" s="42"/>
      <c r="K59" s="20" t="b">
        <v>0</v>
      </c>
    </row>
    <row r="60" spans="1:13" x14ac:dyDescent="0.3">
      <c r="A60" s="73"/>
      <c r="C60" s="74"/>
      <c r="G60" s="26"/>
      <c r="I60" s="42"/>
      <c r="K60" s="20" t="b">
        <v>0</v>
      </c>
    </row>
    <row r="61" spans="1:13" x14ac:dyDescent="0.3">
      <c r="A61" s="73"/>
      <c r="C61" s="74"/>
      <c r="G61" s="26"/>
      <c r="I61" s="42"/>
      <c r="K61" s="20" t="b">
        <v>0</v>
      </c>
    </row>
    <row r="62" spans="1:13" x14ac:dyDescent="0.3">
      <c r="C62" s="15"/>
      <c r="F62" s="51"/>
      <c r="G62" s="51"/>
      <c r="H62" s="68"/>
      <c r="I62" s="69"/>
      <c r="J62" s="51"/>
      <c r="K62" s="20" t="b">
        <v>0</v>
      </c>
      <c r="L62" s="51"/>
      <c r="M62" s="65"/>
    </row>
    <row r="63" spans="1:13" x14ac:dyDescent="0.3">
      <c r="C63" s="15"/>
      <c r="F63" s="70"/>
      <c r="G63" s="50"/>
      <c r="H63" s="71"/>
      <c r="I63" s="50"/>
      <c r="J63" s="50"/>
      <c r="K63" s="20" t="b">
        <v>0</v>
      </c>
      <c r="L63" s="50"/>
      <c r="M63" s="66"/>
    </row>
    <row r="64" spans="1:13" x14ac:dyDescent="0.3">
      <c r="C64" s="15"/>
      <c r="F64" s="51"/>
      <c r="G64" s="51"/>
      <c r="H64" s="68"/>
      <c r="I64" s="72"/>
      <c r="J64" s="51"/>
      <c r="K64" s="20" t="b">
        <v>0</v>
      </c>
      <c r="L64" s="51"/>
      <c r="M64" s="65"/>
    </row>
    <row r="65" spans="1:13" x14ac:dyDescent="0.3">
      <c r="A65" s="73"/>
      <c r="C65" s="74"/>
      <c r="F65" s="75"/>
      <c r="G65" s="76"/>
      <c r="H65" s="77"/>
      <c r="I65" s="78"/>
      <c r="J65" s="75"/>
      <c r="K65" s="20" t="b">
        <v>0</v>
      </c>
      <c r="L65" s="75"/>
      <c r="M65" s="79"/>
    </row>
    <row r="66" spans="1:13" x14ac:dyDescent="0.3">
      <c r="A66" s="73"/>
      <c r="C66" s="74"/>
      <c r="F66" s="75"/>
      <c r="G66" s="76"/>
      <c r="H66" s="77"/>
      <c r="I66" s="78"/>
      <c r="J66" s="75"/>
      <c r="K66" s="20" t="b">
        <v>0</v>
      </c>
      <c r="L66" s="75"/>
      <c r="M66" s="79"/>
    </row>
    <row r="69" spans="1:13" x14ac:dyDescent="0.3">
      <c r="B69" s="17"/>
    </row>
    <row r="70" spans="1:13" x14ac:dyDescent="0.3">
      <c r="H70" s="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"/>
  <sheetViews>
    <sheetView zoomScale="90" zoomScaleNormal="90" workbookViewId="0">
      <selection activeCell="K92" sqref="K2:K92"/>
    </sheetView>
  </sheetViews>
  <sheetFormatPr defaultRowHeight="14.4" x14ac:dyDescent="0.3"/>
  <cols>
    <col min="1" max="1" width="16.33203125" bestFit="1" customWidth="1"/>
    <col min="2" max="2" width="35.5546875" bestFit="1" customWidth="1"/>
    <col min="3" max="3" width="16.109375" style="2" bestFit="1" customWidth="1"/>
    <col min="4" max="4" width="21.44140625" style="3" customWidth="1"/>
    <col min="5" max="5" width="13.6640625" bestFit="1" customWidth="1"/>
    <col min="6" max="6" width="18.6640625" style="21" bestFit="1" customWidth="1"/>
    <col min="7" max="7" width="34.88671875" bestFit="1" customWidth="1"/>
    <col min="8" max="8" width="18.33203125" style="6" bestFit="1" customWidth="1"/>
    <col min="9" max="9" width="17.6640625" style="2" bestFit="1" customWidth="1"/>
    <col min="10" max="10" width="12.44140625" bestFit="1" customWidth="1"/>
    <col min="11" max="11" width="20.88671875" bestFit="1" customWidth="1"/>
    <col min="12" max="12" width="73.5546875" customWidth="1"/>
    <col min="13" max="13" width="27.6640625" style="21" bestFit="1" customWidth="1"/>
  </cols>
  <sheetData>
    <row r="1" spans="1:13" x14ac:dyDescent="0.3">
      <c r="A1" t="s">
        <v>0</v>
      </c>
      <c r="B1" t="s">
        <v>13</v>
      </c>
      <c r="C1" s="2" t="s">
        <v>2</v>
      </c>
      <c r="D1" s="3" t="s">
        <v>14</v>
      </c>
      <c r="E1" t="s">
        <v>4</v>
      </c>
      <c r="F1" s="21" t="s">
        <v>5</v>
      </c>
      <c r="G1" s="26" t="s">
        <v>6</v>
      </c>
      <c r="H1" s="6" t="s">
        <v>7</v>
      </c>
      <c r="I1" s="2" t="s">
        <v>8</v>
      </c>
      <c r="J1" t="s">
        <v>9</v>
      </c>
      <c r="K1" t="s">
        <v>15</v>
      </c>
      <c r="L1" t="s">
        <v>11</v>
      </c>
      <c r="M1" s="21" t="s">
        <v>12</v>
      </c>
    </row>
    <row r="2" spans="1:13" x14ac:dyDescent="0.3">
      <c r="C2" s="1"/>
      <c r="D2" s="21"/>
      <c r="G2" s="26"/>
      <c r="K2" s="20" t="b">
        <v>0</v>
      </c>
    </row>
    <row r="3" spans="1:13" x14ac:dyDescent="0.3">
      <c r="C3" s="1"/>
      <c r="D3" s="21"/>
      <c r="G3" s="26"/>
      <c r="K3" s="20" t="b">
        <v>0</v>
      </c>
    </row>
    <row r="4" spans="1:13" x14ac:dyDescent="0.3">
      <c r="C4" s="1"/>
      <c r="D4" s="21"/>
      <c r="G4" s="26"/>
      <c r="K4" s="20" t="b">
        <v>0</v>
      </c>
    </row>
    <row r="5" spans="1:13" x14ac:dyDescent="0.3">
      <c r="C5" s="1"/>
      <c r="D5" s="21"/>
      <c r="G5" s="26"/>
      <c r="K5" s="20" t="b">
        <v>0</v>
      </c>
    </row>
    <row r="6" spans="1:13" x14ac:dyDescent="0.3">
      <c r="C6" s="1"/>
      <c r="D6" s="21"/>
      <c r="G6" s="26"/>
      <c r="K6" s="20" t="b">
        <v>0</v>
      </c>
    </row>
    <row r="7" spans="1:13" x14ac:dyDescent="0.3">
      <c r="C7" s="1"/>
      <c r="D7" s="21"/>
      <c r="G7" s="26"/>
      <c r="K7" s="20" t="b">
        <v>0</v>
      </c>
    </row>
    <row r="8" spans="1:13" x14ac:dyDescent="0.3">
      <c r="C8" s="1"/>
      <c r="D8" s="21"/>
      <c r="G8" s="26"/>
      <c r="K8" s="20" t="b">
        <v>0</v>
      </c>
    </row>
    <row r="9" spans="1:13" x14ac:dyDescent="0.3">
      <c r="C9" s="1"/>
      <c r="D9" s="21"/>
      <c r="G9" s="26"/>
      <c r="K9" s="20" t="b">
        <v>0</v>
      </c>
    </row>
    <row r="10" spans="1:13" x14ac:dyDescent="0.3">
      <c r="C10" s="1"/>
      <c r="D10" s="21"/>
      <c r="G10" s="26"/>
      <c r="K10" s="20" t="b">
        <v>0</v>
      </c>
    </row>
    <row r="11" spans="1:13" x14ac:dyDescent="0.3">
      <c r="C11" s="1"/>
      <c r="D11" s="21"/>
      <c r="G11" s="26"/>
      <c r="K11" s="20" t="b">
        <v>0</v>
      </c>
    </row>
    <row r="12" spans="1:13" x14ac:dyDescent="0.3">
      <c r="C12" s="1"/>
      <c r="D12" s="21"/>
      <c r="G12" s="26"/>
      <c r="K12" s="20" t="b">
        <v>0</v>
      </c>
    </row>
    <row r="13" spans="1:13" x14ac:dyDescent="0.3">
      <c r="C13" s="1"/>
      <c r="D13" s="21"/>
      <c r="G13" s="26"/>
      <c r="K13" s="20" t="b">
        <v>0</v>
      </c>
    </row>
    <row r="14" spans="1:13" x14ac:dyDescent="0.3">
      <c r="C14" s="1"/>
      <c r="D14" s="21"/>
      <c r="G14" s="26"/>
      <c r="K14" s="20" t="b">
        <v>0</v>
      </c>
    </row>
    <row r="15" spans="1:13" x14ac:dyDescent="0.3">
      <c r="C15" s="1"/>
      <c r="D15" s="21"/>
      <c r="G15" s="26"/>
      <c r="K15" s="20" t="b">
        <v>0</v>
      </c>
    </row>
    <row r="16" spans="1:13" x14ac:dyDescent="0.3">
      <c r="C16" s="1"/>
      <c r="D16" s="21"/>
      <c r="G16" s="26"/>
      <c r="K16" s="20" t="b">
        <v>0</v>
      </c>
    </row>
    <row r="17" spans="3:11" x14ac:dyDescent="0.3">
      <c r="C17" s="1"/>
      <c r="D17" s="21"/>
      <c r="G17" s="26"/>
      <c r="K17" s="20" t="b">
        <v>0</v>
      </c>
    </row>
    <row r="18" spans="3:11" x14ac:dyDescent="0.3">
      <c r="C18" s="1"/>
      <c r="D18" s="21"/>
      <c r="G18" s="26"/>
      <c r="K18" s="20" t="b">
        <v>0</v>
      </c>
    </row>
    <row r="19" spans="3:11" x14ac:dyDescent="0.3">
      <c r="C19" s="1"/>
      <c r="D19" s="21"/>
      <c r="G19" s="26"/>
      <c r="K19" s="20" t="b">
        <v>0</v>
      </c>
    </row>
    <row r="20" spans="3:11" x14ac:dyDescent="0.3">
      <c r="C20" s="1"/>
      <c r="D20" s="21"/>
      <c r="G20" s="26"/>
      <c r="K20" s="20" t="b">
        <v>0</v>
      </c>
    </row>
    <row r="21" spans="3:11" x14ac:dyDescent="0.3">
      <c r="C21" s="1"/>
      <c r="D21" s="21"/>
      <c r="G21" s="26"/>
      <c r="K21" s="20" t="b">
        <v>0</v>
      </c>
    </row>
    <row r="22" spans="3:11" x14ac:dyDescent="0.3">
      <c r="C22" s="1"/>
      <c r="D22" s="21"/>
      <c r="G22" s="26"/>
      <c r="K22" s="20" t="b">
        <v>0</v>
      </c>
    </row>
    <row r="23" spans="3:11" x14ac:dyDescent="0.3">
      <c r="C23" s="1"/>
      <c r="D23" s="21"/>
      <c r="G23" s="26"/>
      <c r="K23" s="20" t="b">
        <v>0</v>
      </c>
    </row>
    <row r="24" spans="3:11" x14ac:dyDescent="0.3">
      <c r="C24" s="1"/>
      <c r="D24" s="21"/>
      <c r="G24" s="26"/>
      <c r="K24" s="20" t="b">
        <v>0</v>
      </c>
    </row>
    <row r="25" spans="3:11" x14ac:dyDescent="0.3">
      <c r="C25" s="1"/>
      <c r="D25" s="21"/>
      <c r="G25" s="26"/>
      <c r="K25" s="20" t="b">
        <v>0</v>
      </c>
    </row>
    <row r="26" spans="3:11" x14ac:dyDescent="0.3">
      <c r="C26" s="1"/>
      <c r="D26" s="21"/>
      <c r="G26" s="26"/>
      <c r="K26" s="20" t="b">
        <v>0</v>
      </c>
    </row>
    <row r="27" spans="3:11" x14ac:dyDescent="0.3">
      <c r="C27" s="1"/>
      <c r="D27" s="21"/>
      <c r="G27" s="26"/>
      <c r="K27" s="20" t="b">
        <v>0</v>
      </c>
    </row>
    <row r="28" spans="3:11" x14ac:dyDescent="0.3">
      <c r="C28" s="1"/>
      <c r="D28" s="21"/>
      <c r="G28" s="26"/>
      <c r="K28" s="20" t="b">
        <v>0</v>
      </c>
    </row>
    <row r="29" spans="3:11" x14ac:dyDescent="0.3">
      <c r="C29" s="1"/>
      <c r="D29" s="21"/>
      <c r="G29" s="26"/>
      <c r="K29" s="20" t="b">
        <v>0</v>
      </c>
    </row>
    <row r="30" spans="3:11" x14ac:dyDescent="0.3">
      <c r="C30" s="1"/>
      <c r="D30" s="21"/>
      <c r="G30" s="26"/>
      <c r="K30" s="20" t="b">
        <v>0</v>
      </c>
    </row>
    <row r="31" spans="3:11" x14ac:dyDescent="0.3">
      <c r="C31" s="1"/>
      <c r="D31" s="21"/>
      <c r="G31" s="26"/>
      <c r="K31" s="20" t="b">
        <v>0</v>
      </c>
    </row>
    <row r="32" spans="3:11" x14ac:dyDescent="0.3">
      <c r="C32" s="1"/>
      <c r="D32" s="21"/>
      <c r="G32" s="26"/>
      <c r="K32" s="20" t="b">
        <v>0</v>
      </c>
    </row>
    <row r="33" spans="3:11" x14ac:dyDescent="0.3">
      <c r="C33" s="1"/>
      <c r="D33" s="21"/>
      <c r="G33" s="26"/>
      <c r="K33" s="20" t="b">
        <v>0</v>
      </c>
    </row>
    <row r="34" spans="3:11" x14ac:dyDescent="0.3">
      <c r="C34" s="1"/>
      <c r="D34" s="21"/>
      <c r="G34" s="26"/>
      <c r="K34" s="20" t="b">
        <v>0</v>
      </c>
    </row>
    <row r="35" spans="3:11" x14ac:dyDescent="0.3">
      <c r="C35" s="1"/>
      <c r="D35" s="21"/>
      <c r="G35" s="26"/>
      <c r="K35" s="20" t="b">
        <v>0</v>
      </c>
    </row>
    <row r="36" spans="3:11" x14ac:dyDescent="0.3">
      <c r="C36" s="1"/>
      <c r="D36" s="21"/>
      <c r="G36" s="26"/>
      <c r="K36" s="20" t="b">
        <v>0</v>
      </c>
    </row>
    <row r="37" spans="3:11" x14ac:dyDescent="0.3">
      <c r="C37" s="1"/>
      <c r="D37" s="21"/>
      <c r="G37" s="26"/>
      <c r="K37" s="20" t="b">
        <v>0</v>
      </c>
    </row>
    <row r="38" spans="3:11" x14ac:dyDescent="0.3">
      <c r="C38" s="1"/>
      <c r="D38" s="21"/>
      <c r="G38" s="26"/>
      <c r="K38" s="20" t="b">
        <v>0</v>
      </c>
    </row>
    <row r="39" spans="3:11" x14ac:dyDescent="0.3">
      <c r="C39" s="1"/>
      <c r="D39" s="21"/>
      <c r="G39" s="26"/>
      <c r="K39" s="20" t="b">
        <v>0</v>
      </c>
    </row>
    <row r="40" spans="3:11" x14ac:dyDescent="0.3">
      <c r="C40" s="1"/>
      <c r="D40" s="21"/>
      <c r="G40" s="26"/>
      <c r="K40" s="20" t="b">
        <v>0</v>
      </c>
    </row>
    <row r="41" spans="3:11" x14ac:dyDescent="0.3">
      <c r="C41" s="1"/>
      <c r="D41" s="21"/>
      <c r="G41" s="26"/>
      <c r="K41" s="20" t="b">
        <v>0</v>
      </c>
    </row>
    <row r="42" spans="3:11" x14ac:dyDescent="0.3">
      <c r="C42" s="1"/>
      <c r="D42" s="21"/>
      <c r="G42" s="26"/>
      <c r="K42" s="20" t="b">
        <v>0</v>
      </c>
    </row>
    <row r="43" spans="3:11" x14ac:dyDescent="0.3">
      <c r="C43" s="1"/>
      <c r="D43" s="21"/>
      <c r="G43" s="26"/>
      <c r="K43" s="20" t="b">
        <v>0</v>
      </c>
    </row>
    <row r="44" spans="3:11" x14ac:dyDescent="0.3">
      <c r="C44" s="1"/>
      <c r="D44" s="21"/>
      <c r="G44" s="26"/>
      <c r="K44" s="20" t="b">
        <v>0</v>
      </c>
    </row>
    <row r="45" spans="3:11" x14ac:dyDescent="0.3">
      <c r="C45" s="1"/>
      <c r="D45" s="21"/>
      <c r="G45" s="26"/>
      <c r="K45" s="20" t="b">
        <v>0</v>
      </c>
    </row>
    <row r="46" spans="3:11" x14ac:dyDescent="0.3">
      <c r="C46" s="1"/>
      <c r="D46" s="21"/>
      <c r="G46" s="26"/>
      <c r="K46" s="20" t="b">
        <v>0</v>
      </c>
    </row>
    <row r="47" spans="3:11" x14ac:dyDescent="0.3">
      <c r="C47" s="1"/>
      <c r="D47" s="21"/>
      <c r="G47" s="26"/>
      <c r="K47" s="20" t="b">
        <v>0</v>
      </c>
    </row>
    <row r="48" spans="3:11" x14ac:dyDescent="0.3">
      <c r="C48" s="1"/>
      <c r="D48" s="21"/>
      <c r="G48" s="26"/>
      <c r="K48" s="20" t="b">
        <v>0</v>
      </c>
    </row>
    <row r="49" spans="3:11" x14ac:dyDescent="0.3">
      <c r="C49" s="1"/>
      <c r="D49" s="21"/>
      <c r="G49" s="26"/>
      <c r="K49" s="20" t="b">
        <v>0</v>
      </c>
    </row>
    <row r="50" spans="3:11" x14ac:dyDescent="0.3">
      <c r="C50" s="1"/>
      <c r="D50" s="21"/>
      <c r="G50" s="26"/>
      <c r="K50" s="20" t="b">
        <v>0</v>
      </c>
    </row>
    <row r="51" spans="3:11" x14ac:dyDescent="0.3">
      <c r="C51" s="1"/>
      <c r="D51" s="21"/>
      <c r="G51" s="26"/>
      <c r="K51" s="20" t="b">
        <v>0</v>
      </c>
    </row>
    <row r="52" spans="3:11" x14ac:dyDescent="0.3">
      <c r="C52" s="1"/>
      <c r="D52" s="21"/>
      <c r="G52" s="26"/>
      <c r="K52" s="20" t="b">
        <v>0</v>
      </c>
    </row>
    <row r="53" spans="3:11" x14ac:dyDescent="0.3">
      <c r="C53" s="1"/>
      <c r="D53" s="21"/>
      <c r="G53" s="26"/>
      <c r="K53" s="20" t="b">
        <v>0</v>
      </c>
    </row>
    <row r="54" spans="3:11" x14ac:dyDescent="0.3">
      <c r="C54" s="1"/>
      <c r="D54" s="21"/>
      <c r="G54" s="26"/>
      <c r="K54" s="20" t="b">
        <v>0</v>
      </c>
    </row>
    <row r="55" spans="3:11" x14ac:dyDescent="0.3">
      <c r="C55" s="1"/>
      <c r="D55" s="21"/>
      <c r="G55" s="26"/>
      <c r="K55" s="20" t="b">
        <v>0</v>
      </c>
    </row>
    <row r="56" spans="3:11" x14ac:dyDescent="0.3">
      <c r="C56" s="1"/>
      <c r="D56" s="21"/>
      <c r="G56" s="26"/>
      <c r="K56" s="20" t="b">
        <v>0</v>
      </c>
    </row>
    <row r="57" spans="3:11" x14ac:dyDescent="0.3">
      <c r="C57" s="1"/>
      <c r="D57" s="21"/>
      <c r="G57" s="26"/>
      <c r="K57" s="20" t="b">
        <v>0</v>
      </c>
    </row>
    <row r="58" spans="3:11" x14ac:dyDescent="0.3">
      <c r="C58" s="1"/>
      <c r="D58" s="21"/>
      <c r="G58" s="26"/>
      <c r="K58" s="20" t="b">
        <v>0</v>
      </c>
    </row>
    <row r="59" spans="3:11" x14ac:dyDescent="0.3">
      <c r="C59" s="1"/>
      <c r="D59" s="21"/>
      <c r="G59" s="26"/>
      <c r="K59" s="20" t="b">
        <v>0</v>
      </c>
    </row>
    <row r="60" spans="3:11" x14ac:dyDescent="0.3">
      <c r="C60" s="1"/>
      <c r="D60" s="21"/>
      <c r="G60" s="26"/>
      <c r="K60" s="20" t="b">
        <v>0</v>
      </c>
    </row>
    <row r="61" spans="3:11" x14ac:dyDescent="0.3">
      <c r="C61" s="1"/>
      <c r="D61" s="21"/>
      <c r="G61" s="26"/>
      <c r="K61" s="20" t="b">
        <v>0</v>
      </c>
    </row>
    <row r="62" spans="3:11" x14ac:dyDescent="0.3">
      <c r="C62" s="1"/>
      <c r="D62" s="21"/>
      <c r="G62" s="26"/>
      <c r="K62" s="20" t="b">
        <v>0</v>
      </c>
    </row>
    <row r="63" spans="3:11" x14ac:dyDescent="0.3">
      <c r="C63" s="1"/>
      <c r="D63" s="21"/>
      <c r="G63" s="26"/>
      <c r="K63" s="20" t="b">
        <v>0</v>
      </c>
    </row>
    <row r="64" spans="3:11" x14ac:dyDescent="0.3">
      <c r="C64" s="1"/>
      <c r="D64" s="21"/>
      <c r="G64" s="26"/>
      <c r="K64" s="20" t="b">
        <v>0</v>
      </c>
    </row>
    <row r="65" spans="3:11" x14ac:dyDescent="0.3">
      <c r="C65" s="1"/>
      <c r="D65" s="21"/>
      <c r="G65" s="26"/>
      <c r="K65" s="20" t="b">
        <v>0</v>
      </c>
    </row>
    <row r="66" spans="3:11" x14ac:dyDescent="0.3">
      <c r="C66" s="1"/>
      <c r="D66" s="21"/>
      <c r="G66" s="26"/>
      <c r="K66" s="20" t="b">
        <v>0</v>
      </c>
    </row>
    <row r="67" spans="3:11" x14ac:dyDescent="0.3">
      <c r="C67" s="1"/>
      <c r="D67" s="21"/>
      <c r="G67" s="26"/>
      <c r="K67" s="20" t="b">
        <v>0</v>
      </c>
    </row>
    <row r="68" spans="3:11" x14ac:dyDescent="0.3">
      <c r="C68" s="1"/>
      <c r="D68" s="21"/>
      <c r="G68" s="26"/>
      <c r="K68" s="20" t="b">
        <v>0</v>
      </c>
    </row>
    <row r="69" spans="3:11" x14ac:dyDescent="0.3">
      <c r="C69" s="1"/>
      <c r="D69" s="21"/>
      <c r="G69" s="26"/>
      <c r="K69" s="20" t="b">
        <v>0</v>
      </c>
    </row>
    <row r="70" spans="3:11" x14ac:dyDescent="0.3">
      <c r="C70" s="1"/>
      <c r="D70" s="21"/>
      <c r="G70" s="26"/>
      <c r="K70" s="20" t="b">
        <v>0</v>
      </c>
    </row>
    <row r="71" spans="3:11" x14ac:dyDescent="0.3">
      <c r="C71" s="1"/>
      <c r="D71" s="21"/>
      <c r="G71" s="26"/>
      <c r="K71" s="20" t="b">
        <v>0</v>
      </c>
    </row>
    <row r="72" spans="3:11" x14ac:dyDescent="0.3">
      <c r="C72" s="1"/>
      <c r="D72" s="21"/>
      <c r="G72" s="26"/>
      <c r="K72" s="20" t="b">
        <v>0</v>
      </c>
    </row>
    <row r="73" spans="3:11" x14ac:dyDescent="0.3">
      <c r="C73" s="1"/>
      <c r="D73" s="21"/>
      <c r="G73" s="26"/>
      <c r="K73" s="20" t="b">
        <v>0</v>
      </c>
    </row>
    <row r="74" spans="3:11" x14ac:dyDescent="0.3">
      <c r="C74" s="1"/>
      <c r="D74" s="21"/>
      <c r="G74" s="26"/>
      <c r="K74" s="20" t="b">
        <v>0</v>
      </c>
    </row>
    <row r="75" spans="3:11" x14ac:dyDescent="0.3">
      <c r="C75" s="1"/>
      <c r="D75" s="21"/>
      <c r="G75" s="26"/>
      <c r="K75" s="20" t="b">
        <v>0</v>
      </c>
    </row>
    <row r="76" spans="3:11" x14ac:dyDescent="0.3">
      <c r="C76" s="1"/>
      <c r="D76" s="21"/>
      <c r="G76" s="26"/>
      <c r="K76" s="20" t="b">
        <v>0</v>
      </c>
    </row>
    <row r="77" spans="3:11" x14ac:dyDescent="0.3">
      <c r="C77" s="1"/>
      <c r="D77" s="21"/>
      <c r="G77" s="26"/>
      <c r="K77" s="20" t="b">
        <v>0</v>
      </c>
    </row>
    <row r="78" spans="3:11" x14ac:dyDescent="0.3">
      <c r="C78" s="1"/>
      <c r="D78" s="21"/>
      <c r="G78" s="26"/>
      <c r="K78" s="20" t="b">
        <v>0</v>
      </c>
    </row>
    <row r="79" spans="3:11" x14ac:dyDescent="0.3">
      <c r="C79" s="1"/>
      <c r="D79" s="21"/>
      <c r="G79" s="26"/>
      <c r="K79" s="20" t="b">
        <v>0</v>
      </c>
    </row>
    <row r="80" spans="3:11" x14ac:dyDescent="0.3">
      <c r="C80" s="1"/>
      <c r="D80" s="21"/>
      <c r="G80" s="26"/>
      <c r="K80" s="20" t="b">
        <v>0</v>
      </c>
    </row>
    <row r="81" spans="3:11" x14ac:dyDescent="0.3">
      <c r="C81" s="1"/>
      <c r="D81" s="21"/>
      <c r="G81" s="26"/>
      <c r="K81" s="20" t="b">
        <v>0</v>
      </c>
    </row>
    <row r="82" spans="3:11" x14ac:dyDescent="0.3">
      <c r="C82" s="1"/>
      <c r="D82" s="21"/>
      <c r="G82" s="26"/>
      <c r="K82" s="20" t="b">
        <v>0</v>
      </c>
    </row>
    <row r="83" spans="3:11" x14ac:dyDescent="0.3">
      <c r="C83" s="1"/>
      <c r="D83" s="21"/>
      <c r="G83" s="26"/>
      <c r="K83" s="20" t="b">
        <v>0</v>
      </c>
    </row>
    <row r="84" spans="3:11" x14ac:dyDescent="0.3">
      <c r="C84" s="1"/>
      <c r="D84" s="21"/>
      <c r="G84" s="26"/>
      <c r="K84" s="20" t="b">
        <v>0</v>
      </c>
    </row>
    <row r="85" spans="3:11" x14ac:dyDescent="0.3">
      <c r="C85" s="1"/>
      <c r="D85" s="21"/>
      <c r="G85" s="26"/>
      <c r="K85" s="20" t="b">
        <v>0</v>
      </c>
    </row>
    <row r="86" spans="3:11" x14ac:dyDescent="0.3">
      <c r="C86" s="1"/>
      <c r="D86" s="21"/>
      <c r="G86" s="26"/>
      <c r="K86" s="20" t="b">
        <v>0</v>
      </c>
    </row>
    <row r="87" spans="3:11" x14ac:dyDescent="0.3">
      <c r="C87" s="1"/>
      <c r="D87" s="21"/>
      <c r="G87" s="26"/>
      <c r="K87" s="20" t="b">
        <v>0</v>
      </c>
    </row>
    <row r="88" spans="3:11" x14ac:dyDescent="0.3">
      <c r="C88" s="1"/>
      <c r="D88" s="21"/>
      <c r="G88" s="26"/>
      <c r="K88" s="20" t="b">
        <v>0</v>
      </c>
    </row>
    <row r="89" spans="3:11" x14ac:dyDescent="0.3">
      <c r="C89" s="1"/>
      <c r="D89" s="21"/>
      <c r="G89" s="26"/>
      <c r="K89" s="20" t="b">
        <v>0</v>
      </c>
    </row>
    <row r="90" spans="3:11" x14ac:dyDescent="0.3">
      <c r="C90" s="1"/>
      <c r="D90" s="21"/>
      <c r="G90" s="26"/>
      <c r="K90" s="20" t="b">
        <v>0</v>
      </c>
    </row>
    <row r="91" spans="3:11" x14ac:dyDescent="0.3">
      <c r="C91" s="1"/>
      <c r="D91" s="21"/>
      <c r="G91" s="26"/>
      <c r="K91" s="20" t="b">
        <v>0</v>
      </c>
    </row>
    <row r="92" spans="3:11" x14ac:dyDescent="0.3">
      <c r="C92" s="15"/>
      <c r="D92" s="21"/>
      <c r="G92" s="26"/>
      <c r="I92" s="42"/>
      <c r="K92" s="20" t="b">
        <v>0</v>
      </c>
    </row>
    <row r="93" spans="3:11" x14ac:dyDescent="0.3">
      <c r="C93" s="15"/>
      <c r="D93" s="21"/>
      <c r="G93" s="26"/>
      <c r="I93" s="42"/>
      <c r="K93" s="20" t="b">
        <v>0</v>
      </c>
    </row>
    <row r="94" spans="3:11" x14ac:dyDescent="0.3">
      <c r="C94" s="15"/>
      <c r="D94" s="21"/>
      <c r="G94" s="53"/>
      <c r="I94" s="42"/>
      <c r="K94" s="20" t="b">
        <v>0</v>
      </c>
    </row>
    <row r="95" spans="3:11" ht="15.6" x14ac:dyDescent="0.3">
      <c r="C95" s="15"/>
      <c r="D95" s="21"/>
      <c r="G95" s="56"/>
      <c r="H95" s="52"/>
      <c r="I95" s="42"/>
      <c r="K95" s="20" t="b">
        <v>0</v>
      </c>
    </row>
    <row r="96" spans="3:11" x14ac:dyDescent="0.3">
      <c r="C96" s="15"/>
      <c r="D96" s="21"/>
      <c r="G96" s="26"/>
      <c r="I96" s="42"/>
      <c r="K96" s="20" t="b">
        <v>0</v>
      </c>
    </row>
    <row r="97" spans="2:11" x14ac:dyDescent="0.3">
      <c r="C97" s="1"/>
      <c r="D97" s="21"/>
      <c r="G97" s="49"/>
      <c r="K97" s="20" t="b">
        <v>0</v>
      </c>
    </row>
    <row r="100" spans="2:11" x14ac:dyDescent="0.3">
      <c r="B100" s="16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4"/>
  <sheetViews>
    <sheetView zoomScale="90" zoomScaleNormal="90" workbookViewId="0">
      <selection activeCell="D14" sqref="D14"/>
    </sheetView>
  </sheetViews>
  <sheetFormatPr defaultRowHeight="14.4" x14ac:dyDescent="0.3"/>
  <cols>
    <col min="1" max="2" width="20.44140625" customWidth="1"/>
    <col min="3" max="3" width="20.44140625" style="1" customWidth="1"/>
    <col min="4" max="4" width="29.109375" style="21" bestFit="1" customWidth="1"/>
    <col min="5" max="5" width="20.44140625" customWidth="1"/>
    <col min="6" max="6" width="20.44140625" style="3" customWidth="1"/>
    <col min="7" max="7" width="20.44140625" customWidth="1"/>
    <col min="8" max="8" width="20.44140625" style="6" customWidth="1"/>
    <col min="9" max="9" width="20.44140625" style="2" customWidth="1"/>
    <col min="10" max="10" width="20.44140625" style="19" customWidth="1"/>
    <col min="11" max="11" width="20.44140625" style="31" customWidth="1"/>
    <col min="12" max="12" width="50.44140625" bestFit="1" customWidth="1"/>
    <col min="13" max="13" width="27.6640625" style="26" bestFit="1" customWidth="1"/>
  </cols>
  <sheetData>
    <row r="1" spans="1:13" x14ac:dyDescent="0.3">
      <c r="A1" t="s">
        <v>0</v>
      </c>
      <c r="B1" s="26" t="s">
        <v>13</v>
      </c>
      <c r="C1" s="54" t="s">
        <v>2</v>
      </c>
      <c r="D1" s="21" t="s">
        <v>14</v>
      </c>
      <c r="E1" s="26" t="s">
        <v>4</v>
      </c>
      <c r="F1" s="21" t="s">
        <v>5</v>
      </c>
      <c r="G1" s="26" t="s">
        <v>6</v>
      </c>
      <c r="H1" s="24" t="s">
        <v>7</v>
      </c>
      <c r="I1" s="46" t="s">
        <v>8</v>
      </c>
      <c r="J1" s="47" t="s">
        <v>9</v>
      </c>
      <c r="K1" s="48" t="s">
        <v>15</v>
      </c>
      <c r="L1" t="s">
        <v>11</v>
      </c>
      <c r="M1" s="26" t="s">
        <v>12</v>
      </c>
    </row>
    <row r="2" spans="1:13" x14ac:dyDescent="0.3">
      <c r="A2" s="80"/>
      <c r="B2" s="44"/>
      <c r="C2" s="81"/>
      <c r="E2" s="44"/>
      <c r="F2" s="45"/>
      <c r="G2" s="44"/>
      <c r="H2" s="82"/>
      <c r="I2" s="83"/>
      <c r="J2" s="84"/>
      <c r="K2" s="32" t="b">
        <v>0</v>
      </c>
      <c r="L2" s="27"/>
      <c r="M2" s="44"/>
    </row>
    <row r="3" spans="1:13" x14ac:dyDescent="0.3">
      <c r="A3" s="80"/>
      <c r="B3" s="44"/>
      <c r="C3" s="81"/>
      <c r="E3" s="44"/>
      <c r="F3" s="45"/>
      <c r="G3" s="44"/>
      <c r="H3" s="82"/>
      <c r="I3" s="83"/>
      <c r="J3" s="84"/>
      <c r="K3" s="32" t="b">
        <v>0</v>
      </c>
      <c r="L3" s="27"/>
      <c r="M3" s="44"/>
    </row>
    <row r="4" spans="1:13" x14ac:dyDescent="0.3">
      <c r="A4" s="80"/>
      <c r="B4" s="44"/>
      <c r="C4" s="81"/>
      <c r="E4" s="44"/>
      <c r="F4" s="45"/>
      <c r="G4" s="44"/>
      <c r="H4" s="82"/>
      <c r="I4" s="83"/>
      <c r="J4" s="84"/>
      <c r="K4" s="32" t="b">
        <v>0</v>
      </c>
      <c r="L4" s="27"/>
      <c r="M4" s="44"/>
    </row>
    <row r="5" spans="1:13" x14ac:dyDescent="0.3">
      <c r="A5" s="80"/>
      <c r="B5" s="44"/>
      <c r="C5" s="81"/>
      <c r="E5" s="44"/>
      <c r="F5" s="45"/>
      <c r="G5" s="44"/>
      <c r="H5" s="82"/>
      <c r="I5" s="83"/>
      <c r="J5" s="84"/>
      <c r="K5" s="32" t="b">
        <v>0</v>
      </c>
      <c r="L5" s="27"/>
      <c r="M5" s="44"/>
    </row>
    <row r="6" spans="1:13" x14ac:dyDescent="0.3">
      <c r="A6" s="80"/>
      <c r="B6" s="44"/>
      <c r="C6" s="81"/>
      <c r="E6" s="44"/>
      <c r="F6" s="45"/>
      <c r="G6" s="44"/>
      <c r="H6" s="82"/>
      <c r="I6" s="83"/>
      <c r="J6" s="84"/>
      <c r="K6" s="32" t="b">
        <v>0</v>
      </c>
      <c r="L6" s="27"/>
      <c r="M6" s="44"/>
    </row>
    <row r="7" spans="1:13" x14ac:dyDescent="0.3">
      <c r="A7" s="80"/>
      <c r="B7" s="44"/>
      <c r="C7" s="81"/>
      <c r="E7" s="44"/>
      <c r="F7" s="45"/>
      <c r="G7" s="44"/>
      <c r="H7" s="82"/>
      <c r="I7" s="83"/>
      <c r="J7" s="84"/>
      <c r="K7" s="32" t="b">
        <v>0</v>
      </c>
      <c r="L7" s="27"/>
      <c r="M7" s="44"/>
    </row>
    <row r="8" spans="1:13" x14ac:dyDescent="0.3">
      <c r="A8" s="80"/>
      <c r="B8" s="44"/>
      <c r="C8" s="81"/>
      <c r="E8" s="44"/>
      <c r="F8" s="45"/>
      <c r="G8" s="44"/>
      <c r="H8" s="82"/>
      <c r="I8" s="83"/>
      <c r="J8" s="84"/>
      <c r="K8" s="32" t="b">
        <v>0</v>
      </c>
      <c r="L8" s="27"/>
      <c r="M8" s="44"/>
    </row>
    <row r="9" spans="1:13" x14ac:dyDescent="0.3">
      <c r="A9" s="80"/>
      <c r="B9" s="44"/>
      <c r="C9" s="81"/>
      <c r="E9" s="44"/>
      <c r="F9" s="45"/>
      <c r="G9" s="44"/>
      <c r="H9" s="82"/>
      <c r="I9" s="83"/>
      <c r="J9" s="84"/>
      <c r="K9" s="32" t="b">
        <v>0</v>
      </c>
      <c r="L9" s="27"/>
      <c r="M9" s="44"/>
    </row>
    <row r="10" spans="1:13" x14ac:dyDescent="0.3">
      <c r="A10" s="80"/>
      <c r="B10" s="44"/>
      <c r="C10" s="81"/>
      <c r="E10" s="44"/>
      <c r="F10" s="45"/>
      <c r="G10" s="44"/>
      <c r="H10" s="82"/>
      <c r="I10" s="83"/>
      <c r="J10" s="84"/>
      <c r="K10" s="32" t="b">
        <v>0</v>
      </c>
      <c r="L10" s="27"/>
      <c r="M10" s="44"/>
    </row>
    <row r="11" spans="1:13" x14ac:dyDescent="0.3">
      <c r="A11" s="80"/>
      <c r="B11" s="44"/>
      <c r="C11" s="81"/>
      <c r="E11" s="44"/>
      <c r="F11" s="45"/>
      <c r="G11" s="44"/>
      <c r="H11" s="82"/>
      <c r="I11" s="83"/>
      <c r="J11" s="84"/>
      <c r="K11" s="32" t="b">
        <v>0</v>
      </c>
      <c r="L11" s="27"/>
      <c r="M11" s="44"/>
    </row>
    <row r="12" spans="1:13" x14ac:dyDescent="0.3">
      <c r="A12" s="80"/>
      <c r="B12" s="44"/>
      <c r="C12" s="81"/>
      <c r="E12" s="44"/>
      <c r="F12" s="45"/>
      <c r="G12" s="44"/>
      <c r="H12" s="82"/>
      <c r="I12" s="83"/>
      <c r="J12" s="84"/>
      <c r="K12" s="32" t="b">
        <v>0</v>
      </c>
      <c r="L12" s="27"/>
      <c r="M12" s="44"/>
    </row>
    <row r="13" spans="1:13" x14ac:dyDescent="0.3">
      <c r="A13" s="80"/>
      <c r="B13" s="44"/>
      <c r="C13" s="81"/>
      <c r="E13" s="44"/>
      <c r="F13" s="45"/>
      <c r="G13" s="44"/>
      <c r="H13" s="82"/>
      <c r="I13" s="83"/>
      <c r="J13" s="84"/>
      <c r="K13" s="32" t="b">
        <v>0</v>
      </c>
      <c r="L13" s="27"/>
      <c r="M13" s="44"/>
    </row>
    <row r="14" spans="1:13" x14ac:dyDescent="0.3">
      <c r="A14" s="80"/>
      <c r="B14" s="44"/>
      <c r="C14" s="81"/>
      <c r="E14" s="44"/>
      <c r="F14" s="45"/>
      <c r="G14" s="44"/>
      <c r="H14" s="82"/>
      <c r="I14" s="83"/>
      <c r="J14" s="84"/>
      <c r="K14" s="32" t="b">
        <v>0</v>
      </c>
      <c r="L14" s="27"/>
      <c r="M14" s="44"/>
    </row>
    <row r="15" spans="1:13" x14ac:dyDescent="0.3">
      <c r="A15" s="80"/>
      <c r="B15" s="44"/>
      <c r="C15" s="81"/>
      <c r="E15" s="44"/>
      <c r="F15" s="45"/>
      <c r="G15" s="44"/>
      <c r="H15" s="82"/>
      <c r="I15" s="83"/>
      <c r="J15" s="84"/>
      <c r="K15" s="32" t="b">
        <v>0</v>
      </c>
      <c r="L15" s="27"/>
      <c r="M15" s="44"/>
    </row>
    <row r="16" spans="1:13" x14ac:dyDescent="0.3">
      <c r="A16" s="80"/>
      <c r="B16" s="44"/>
      <c r="C16" s="81"/>
      <c r="E16" s="44"/>
      <c r="F16" s="45"/>
      <c r="G16" s="44"/>
      <c r="H16" s="82"/>
      <c r="I16" s="83"/>
      <c r="J16" s="84"/>
      <c r="K16" s="32" t="b">
        <v>0</v>
      </c>
      <c r="L16" s="27"/>
      <c r="M16" s="44"/>
    </row>
    <row r="17" spans="1:13" x14ac:dyDescent="0.3">
      <c r="A17" s="80"/>
      <c r="B17" s="44"/>
      <c r="C17" s="81"/>
      <c r="E17" s="44"/>
      <c r="F17" s="45"/>
      <c r="G17" s="44"/>
      <c r="H17" s="82"/>
      <c r="I17" s="83"/>
      <c r="J17" s="84"/>
      <c r="K17" s="32" t="b">
        <v>0</v>
      </c>
      <c r="L17" s="27"/>
      <c r="M17" s="44"/>
    </row>
    <row r="18" spans="1:13" x14ac:dyDescent="0.3">
      <c r="A18" s="80"/>
      <c r="B18" s="44"/>
      <c r="C18" s="81"/>
      <c r="E18" s="44"/>
      <c r="F18" s="45"/>
      <c r="G18" s="44"/>
      <c r="H18" s="82"/>
      <c r="I18" s="83"/>
      <c r="J18" s="84"/>
      <c r="K18" s="32" t="b">
        <v>0</v>
      </c>
      <c r="L18" s="27"/>
      <c r="M18" s="44"/>
    </row>
    <row r="19" spans="1:13" x14ac:dyDescent="0.3">
      <c r="A19" s="80"/>
      <c r="B19" s="44"/>
      <c r="C19" s="81"/>
      <c r="E19" s="44"/>
      <c r="F19" s="45"/>
      <c r="G19" s="44"/>
      <c r="H19" s="82"/>
      <c r="I19" s="83"/>
      <c r="J19" s="84"/>
      <c r="K19" s="32" t="b">
        <v>0</v>
      </c>
      <c r="L19" s="27"/>
      <c r="M19" s="44"/>
    </row>
    <row r="20" spans="1:13" x14ac:dyDescent="0.3">
      <c r="A20" s="80"/>
      <c r="B20" s="44"/>
      <c r="C20" s="81"/>
      <c r="E20" s="44"/>
      <c r="F20" s="45"/>
      <c r="G20" s="44"/>
      <c r="H20" s="82"/>
      <c r="I20" s="83"/>
      <c r="J20" s="84"/>
      <c r="K20" s="32" t="b">
        <v>0</v>
      </c>
      <c r="L20" s="27"/>
      <c r="M20" s="44"/>
    </row>
    <row r="21" spans="1:13" x14ac:dyDescent="0.3">
      <c r="A21" s="80"/>
      <c r="B21" s="44"/>
      <c r="C21" s="81"/>
      <c r="E21" s="44"/>
      <c r="F21" s="45"/>
      <c r="G21" s="44"/>
      <c r="H21" s="82"/>
      <c r="I21" s="83"/>
      <c r="J21" s="84"/>
      <c r="K21" s="32" t="b">
        <v>0</v>
      </c>
      <c r="L21" s="27"/>
      <c r="M21" s="44"/>
    </row>
    <row r="22" spans="1:13" x14ac:dyDescent="0.3">
      <c r="A22" s="80"/>
      <c r="B22" s="44"/>
      <c r="C22" s="81"/>
      <c r="E22" s="44"/>
      <c r="F22" s="45"/>
      <c r="G22" s="44"/>
      <c r="H22" s="82"/>
      <c r="I22" s="83"/>
      <c r="J22" s="84"/>
      <c r="K22" s="32" t="b">
        <v>0</v>
      </c>
      <c r="L22" s="27"/>
      <c r="M22" s="44"/>
    </row>
    <row r="23" spans="1:13" x14ac:dyDescent="0.3">
      <c r="A23" s="80"/>
      <c r="B23" s="44"/>
      <c r="C23" s="81"/>
      <c r="E23" s="44"/>
      <c r="F23" s="45"/>
      <c r="G23" s="44"/>
      <c r="H23" s="82"/>
      <c r="I23" s="83"/>
      <c r="J23" s="84"/>
      <c r="K23" s="32" t="b">
        <v>0</v>
      </c>
      <c r="L23" s="27"/>
      <c r="M23" s="44"/>
    </row>
    <row r="24" spans="1:13" x14ac:dyDescent="0.3">
      <c r="A24" s="80"/>
      <c r="B24" s="44"/>
      <c r="C24" s="81"/>
      <c r="E24" s="44"/>
      <c r="F24" s="45"/>
      <c r="G24" s="44"/>
      <c r="H24" s="82"/>
      <c r="I24" s="83"/>
      <c r="J24" s="84"/>
      <c r="K24" s="32" t="b">
        <v>0</v>
      </c>
      <c r="L24" s="27"/>
      <c r="M24" s="44"/>
    </row>
    <row r="25" spans="1:13" x14ac:dyDescent="0.3">
      <c r="A25" s="80"/>
      <c r="B25" s="44"/>
      <c r="C25" s="81"/>
      <c r="E25" s="44"/>
      <c r="F25" s="45"/>
      <c r="G25" s="44"/>
      <c r="H25" s="82"/>
      <c r="I25" s="83"/>
      <c r="J25" s="84"/>
      <c r="K25" s="32" t="b">
        <v>0</v>
      </c>
      <c r="L25" s="27"/>
      <c r="M25" s="44"/>
    </row>
    <row r="26" spans="1:13" x14ac:dyDescent="0.3">
      <c r="A26" s="80"/>
      <c r="B26" s="44"/>
      <c r="C26" s="81"/>
      <c r="E26" s="44"/>
      <c r="F26" s="45"/>
      <c r="G26" s="44"/>
      <c r="H26" s="82"/>
      <c r="I26" s="83"/>
      <c r="J26" s="84"/>
      <c r="K26" s="32" t="b">
        <v>0</v>
      </c>
      <c r="L26" s="27"/>
      <c r="M26" s="44"/>
    </row>
    <row r="27" spans="1:13" x14ac:dyDescent="0.3">
      <c r="A27" s="80"/>
      <c r="B27" s="44"/>
      <c r="C27" s="81"/>
      <c r="E27" s="44"/>
      <c r="F27" s="45"/>
      <c r="G27" s="44"/>
      <c r="H27" s="82"/>
      <c r="I27" s="83"/>
      <c r="J27" s="84"/>
      <c r="K27" s="32" t="b">
        <v>0</v>
      </c>
      <c r="L27" s="27"/>
      <c r="M27" s="44"/>
    </row>
    <row r="28" spans="1:13" x14ac:dyDescent="0.3">
      <c r="A28" s="80"/>
      <c r="B28" s="44"/>
      <c r="C28" s="81"/>
      <c r="E28" s="44"/>
      <c r="F28" s="45"/>
      <c r="G28" s="44"/>
      <c r="H28" s="82"/>
      <c r="I28" s="83"/>
      <c r="J28" s="84"/>
      <c r="K28" s="32" t="b">
        <v>0</v>
      </c>
      <c r="L28" s="27"/>
      <c r="M28" s="44"/>
    </row>
    <row r="29" spans="1:13" x14ac:dyDescent="0.3">
      <c r="A29" s="80"/>
      <c r="B29" s="44"/>
      <c r="C29" s="81"/>
      <c r="E29" s="44"/>
      <c r="F29" s="45"/>
      <c r="G29" s="44"/>
      <c r="H29" s="82"/>
      <c r="I29" s="83"/>
      <c r="J29" s="84"/>
      <c r="K29" s="32" t="b">
        <v>0</v>
      </c>
      <c r="L29" s="27"/>
      <c r="M29" s="44"/>
    </row>
    <row r="30" spans="1:13" x14ac:dyDescent="0.3">
      <c r="A30" s="80"/>
      <c r="B30" s="44"/>
      <c r="C30" s="81"/>
      <c r="E30" s="44"/>
      <c r="F30" s="45"/>
      <c r="G30" s="44"/>
      <c r="H30" s="82"/>
      <c r="I30" s="83"/>
      <c r="J30" s="84"/>
      <c r="K30" s="32" t="b">
        <v>0</v>
      </c>
      <c r="L30" s="27"/>
      <c r="M30" s="44"/>
    </row>
    <row r="31" spans="1:13" x14ac:dyDescent="0.3">
      <c r="A31" s="80"/>
      <c r="B31" s="44"/>
      <c r="C31" s="81"/>
      <c r="E31" s="44"/>
      <c r="F31" s="45"/>
      <c r="G31" s="44"/>
      <c r="H31" s="82"/>
      <c r="I31" s="83"/>
      <c r="J31" s="84"/>
      <c r="K31" s="32" t="b">
        <v>0</v>
      </c>
      <c r="L31" s="27"/>
      <c r="M31" s="44"/>
    </row>
    <row r="32" spans="1:13" x14ac:dyDescent="0.3">
      <c r="A32" s="80"/>
      <c r="B32" s="44"/>
      <c r="C32" s="81"/>
      <c r="E32" s="44"/>
      <c r="F32" s="45"/>
      <c r="G32" s="44"/>
      <c r="H32" s="82"/>
      <c r="I32" s="83"/>
      <c r="J32" s="84"/>
      <c r="K32" s="32" t="b">
        <v>0</v>
      </c>
      <c r="L32" s="27"/>
      <c r="M32" s="44"/>
    </row>
    <row r="33" spans="1:13" x14ac:dyDescent="0.3">
      <c r="A33" s="80"/>
      <c r="B33" s="44"/>
      <c r="C33" s="81"/>
      <c r="E33" s="44"/>
      <c r="F33" s="45"/>
      <c r="G33" s="44"/>
      <c r="H33" s="82"/>
      <c r="I33" s="83"/>
      <c r="J33" s="84"/>
      <c r="K33" s="32" t="b">
        <v>0</v>
      </c>
      <c r="L33" s="27"/>
      <c r="M33" s="44"/>
    </row>
    <row r="34" spans="1:13" x14ac:dyDescent="0.3">
      <c r="A34" s="80"/>
      <c r="B34" s="44"/>
      <c r="C34" s="81"/>
      <c r="E34" s="44"/>
      <c r="F34" s="45"/>
      <c r="G34" s="44"/>
      <c r="H34" s="82"/>
      <c r="I34" s="83"/>
      <c r="J34" s="84"/>
      <c r="K34" s="32" t="b">
        <v>0</v>
      </c>
      <c r="L34" s="27"/>
      <c r="M34" s="44"/>
    </row>
    <row r="35" spans="1:13" x14ac:dyDescent="0.3">
      <c r="A35" s="80"/>
      <c r="B35" s="44"/>
      <c r="C35" s="81"/>
      <c r="E35" s="44"/>
      <c r="F35" s="45"/>
      <c r="G35" s="44"/>
      <c r="H35" s="82"/>
      <c r="I35" s="83"/>
      <c r="J35" s="84"/>
      <c r="K35" s="32" t="b">
        <v>0</v>
      </c>
      <c r="L35" s="27"/>
      <c r="M35" s="44"/>
    </row>
    <row r="36" spans="1:13" x14ac:dyDescent="0.3">
      <c r="A36" s="80"/>
      <c r="B36" s="44"/>
      <c r="C36" s="81"/>
      <c r="E36" s="44"/>
      <c r="F36" s="45"/>
      <c r="G36" s="44"/>
      <c r="H36" s="82"/>
      <c r="I36" s="83"/>
      <c r="J36" s="84"/>
      <c r="K36" s="32" t="b">
        <v>0</v>
      </c>
      <c r="L36" s="27"/>
      <c r="M36" s="44"/>
    </row>
    <row r="37" spans="1:13" x14ac:dyDescent="0.3">
      <c r="A37" s="80"/>
      <c r="B37" s="44"/>
      <c r="C37" s="81"/>
      <c r="E37" s="44"/>
      <c r="F37" s="45"/>
      <c r="G37" s="44"/>
      <c r="H37" s="82"/>
      <c r="I37" s="83"/>
      <c r="J37" s="84"/>
      <c r="K37" s="32" t="b">
        <v>0</v>
      </c>
      <c r="L37" s="27"/>
      <c r="M37" s="44"/>
    </row>
    <row r="38" spans="1:13" x14ac:dyDescent="0.3">
      <c r="A38" s="80"/>
      <c r="B38" s="44"/>
      <c r="C38" s="81"/>
      <c r="E38" s="44"/>
      <c r="F38" s="45"/>
      <c r="G38" s="44"/>
      <c r="H38" s="82"/>
      <c r="I38" s="83"/>
      <c r="J38" s="84"/>
      <c r="K38" s="32" t="b">
        <v>0</v>
      </c>
      <c r="L38" s="27"/>
      <c r="M38" s="44"/>
    </row>
    <row r="39" spans="1:13" x14ac:dyDescent="0.3">
      <c r="A39" s="80"/>
      <c r="B39" s="44"/>
      <c r="C39" s="81"/>
      <c r="E39" s="44"/>
      <c r="F39" s="45"/>
      <c r="G39" s="44"/>
      <c r="H39" s="82"/>
      <c r="I39" s="83"/>
      <c r="J39" s="84"/>
      <c r="K39" s="32" t="b">
        <v>0</v>
      </c>
      <c r="L39" s="27"/>
      <c r="M39" s="44"/>
    </row>
    <row r="40" spans="1:13" x14ac:dyDescent="0.3">
      <c r="A40" s="80"/>
      <c r="B40" s="44"/>
      <c r="C40" s="81"/>
      <c r="E40" s="44"/>
      <c r="F40" s="45"/>
      <c r="G40" s="44"/>
      <c r="H40" s="82"/>
      <c r="I40" s="83"/>
      <c r="J40" s="84"/>
      <c r="K40" s="32" t="b">
        <v>0</v>
      </c>
      <c r="L40" s="27"/>
      <c r="M40" s="44"/>
    </row>
    <row r="41" spans="1:13" x14ac:dyDescent="0.3">
      <c r="A41" s="80"/>
      <c r="B41" s="44"/>
      <c r="C41" s="81"/>
      <c r="E41" s="44"/>
      <c r="F41" s="45"/>
      <c r="G41" s="44"/>
      <c r="H41" s="82"/>
      <c r="I41" s="83"/>
      <c r="J41" s="84"/>
      <c r="K41" s="32" t="b">
        <v>0</v>
      </c>
      <c r="L41" s="27"/>
      <c r="M41" s="44"/>
    </row>
    <row r="42" spans="1:13" x14ac:dyDescent="0.3">
      <c r="A42" s="80"/>
      <c r="B42" s="44"/>
      <c r="C42" s="81"/>
      <c r="E42" s="44"/>
      <c r="F42" s="45"/>
      <c r="G42" s="44"/>
      <c r="H42" s="82"/>
      <c r="I42" s="83"/>
      <c r="J42" s="84"/>
      <c r="K42" s="32" t="b">
        <v>0</v>
      </c>
      <c r="L42" s="27"/>
      <c r="M42" s="44"/>
    </row>
    <row r="43" spans="1:13" x14ac:dyDescent="0.3">
      <c r="A43" s="80"/>
      <c r="B43" s="44"/>
      <c r="C43" s="81"/>
      <c r="E43" s="44"/>
      <c r="F43" s="45"/>
      <c r="G43" s="44"/>
      <c r="H43" s="82"/>
      <c r="I43" s="83"/>
      <c r="J43" s="84"/>
      <c r="K43" s="32" t="b">
        <v>0</v>
      </c>
      <c r="L43" s="27"/>
      <c r="M43" s="44"/>
    </row>
    <row r="44" spans="1:13" x14ac:dyDescent="0.3">
      <c r="A44" s="80"/>
      <c r="B44" s="44"/>
      <c r="C44" s="81"/>
      <c r="E44" s="44"/>
      <c r="F44" s="45"/>
      <c r="G44" s="44"/>
      <c r="H44" s="82"/>
      <c r="I44" s="83"/>
      <c r="J44" s="84"/>
      <c r="K44" s="32" t="b">
        <v>0</v>
      </c>
      <c r="L44" s="27"/>
      <c r="M44" s="44"/>
    </row>
    <row r="45" spans="1:13" x14ac:dyDescent="0.3">
      <c r="A45" s="80"/>
      <c r="B45" s="44"/>
      <c r="C45" s="81"/>
      <c r="E45" s="44"/>
      <c r="F45" s="45"/>
      <c r="G45" s="44"/>
      <c r="H45" s="82"/>
      <c r="I45" s="83"/>
      <c r="J45" s="84"/>
      <c r="K45" s="32" t="b">
        <v>0</v>
      </c>
      <c r="L45" s="27"/>
      <c r="M45" s="44"/>
    </row>
    <row r="46" spans="1:13" x14ac:dyDescent="0.3">
      <c r="A46" s="80"/>
      <c r="B46" s="44"/>
      <c r="C46" s="81"/>
      <c r="E46" s="44"/>
      <c r="F46" s="45"/>
      <c r="G46" s="44"/>
      <c r="H46" s="82"/>
      <c r="I46" s="83"/>
      <c r="J46" s="84"/>
      <c r="K46" s="32" t="b">
        <v>0</v>
      </c>
      <c r="L46" s="27"/>
      <c r="M46" s="44"/>
    </row>
    <row r="47" spans="1:13" x14ac:dyDescent="0.3">
      <c r="A47" s="80"/>
      <c r="B47" s="44"/>
      <c r="C47" s="81"/>
      <c r="E47" s="44"/>
      <c r="F47" s="45"/>
      <c r="G47" s="44"/>
      <c r="H47" s="82"/>
      <c r="I47" s="83"/>
      <c r="J47" s="84"/>
      <c r="K47" s="32" t="b">
        <v>0</v>
      </c>
      <c r="L47" s="27"/>
      <c r="M47" s="44"/>
    </row>
    <row r="48" spans="1:13" x14ac:dyDescent="0.3">
      <c r="A48" s="80"/>
      <c r="B48" s="44"/>
      <c r="C48" s="81"/>
      <c r="E48" s="44"/>
      <c r="F48" s="45"/>
      <c r="G48" s="44"/>
      <c r="H48" s="82"/>
      <c r="I48" s="83"/>
      <c r="J48" s="84"/>
      <c r="K48" s="32" t="b">
        <v>0</v>
      </c>
      <c r="L48" s="27"/>
      <c r="M48" s="44"/>
    </row>
    <row r="49" spans="1:13" x14ac:dyDescent="0.3">
      <c r="A49" s="80"/>
      <c r="B49" s="44"/>
      <c r="C49" s="81"/>
      <c r="E49" s="44"/>
      <c r="F49" s="45"/>
      <c r="G49" s="44"/>
      <c r="H49" s="82"/>
      <c r="I49" s="83"/>
      <c r="J49" s="84"/>
      <c r="K49" s="32" t="b">
        <v>0</v>
      </c>
      <c r="L49" s="27"/>
      <c r="M49" s="44"/>
    </row>
    <row r="50" spans="1:13" x14ac:dyDescent="0.3">
      <c r="A50" s="80"/>
      <c r="B50" s="44"/>
      <c r="C50" s="81"/>
      <c r="E50" s="44"/>
      <c r="F50" s="45"/>
      <c r="G50" s="44"/>
      <c r="H50" s="82"/>
      <c r="I50" s="83"/>
      <c r="J50" s="84"/>
      <c r="K50" s="32" t="b">
        <v>0</v>
      </c>
      <c r="L50" s="27"/>
      <c r="M50" s="44"/>
    </row>
    <row r="51" spans="1:13" x14ac:dyDescent="0.3">
      <c r="A51" s="80"/>
      <c r="B51" s="44"/>
      <c r="C51" s="81"/>
      <c r="E51" s="44"/>
      <c r="F51" s="45"/>
      <c r="G51" s="44"/>
      <c r="H51" s="82"/>
      <c r="I51" s="83"/>
      <c r="J51" s="84"/>
      <c r="K51" s="32" t="b">
        <v>0</v>
      </c>
      <c r="L51" s="27"/>
      <c r="M51" s="44"/>
    </row>
    <row r="52" spans="1:13" x14ac:dyDescent="0.3">
      <c r="A52" s="80"/>
      <c r="B52" s="44"/>
      <c r="C52" s="81"/>
      <c r="E52" s="44"/>
      <c r="F52" s="45"/>
      <c r="G52" s="44"/>
      <c r="H52" s="82"/>
      <c r="I52" s="83"/>
      <c r="J52" s="84"/>
      <c r="K52" s="32" t="b">
        <v>0</v>
      </c>
      <c r="L52" s="27"/>
      <c r="M52" s="44"/>
    </row>
    <row r="53" spans="1:13" x14ac:dyDescent="0.3">
      <c r="A53" s="80"/>
      <c r="B53" s="44"/>
      <c r="C53" s="81"/>
      <c r="E53" s="44"/>
      <c r="F53" s="45"/>
      <c r="G53" s="44"/>
      <c r="H53" s="82"/>
      <c r="I53" s="83"/>
      <c r="J53" s="84"/>
      <c r="K53" s="32" t="b">
        <v>0</v>
      </c>
      <c r="L53" s="27"/>
      <c r="M53" s="44"/>
    </row>
    <row r="54" spans="1:13" x14ac:dyDescent="0.3">
      <c r="A54" s="80"/>
      <c r="B54" s="44"/>
      <c r="C54" s="81"/>
      <c r="E54" s="44"/>
      <c r="F54" s="45"/>
      <c r="G54" s="44"/>
      <c r="H54" s="82"/>
      <c r="I54" s="83"/>
      <c r="J54" s="84"/>
      <c r="K54" s="32" t="b">
        <v>0</v>
      </c>
      <c r="L54" s="27"/>
      <c r="M54" s="44"/>
    </row>
    <row r="55" spans="1:13" x14ac:dyDescent="0.3">
      <c r="A55" s="80"/>
      <c r="B55" s="44"/>
      <c r="C55" s="81"/>
      <c r="E55" s="44"/>
      <c r="F55" s="45"/>
      <c r="G55" s="44"/>
      <c r="H55" s="82"/>
      <c r="I55" s="83"/>
      <c r="J55" s="84"/>
      <c r="K55" s="32" t="b">
        <v>0</v>
      </c>
      <c r="L55" s="27"/>
      <c r="M55" s="44"/>
    </row>
    <row r="56" spans="1:13" x14ac:dyDescent="0.3">
      <c r="A56" s="80"/>
      <c r="B56" s="44"/>
      <c r="C56" s="81"/>
      <c r="E56" s="44"/>
      <c r="F56" s="45"/>
      <c r="G56" s="44"/>
      <c r="H56" s="82"/>
      <c r="I56" s="83"/>
      <c r="J56" s="84"/>
      <c r="K56" s="32" t="b">
        <v>0</v>
      </c>
      <c r="L56" s="27"/>
      <c r="M56" s="44"/>
    </row>
    <row r="57" spans="1:13" x14ac:dyDescent="0.3">
      <c r="A57" s="80"/>
      <c r="B57" s="44"/>
      <c r="C57" s="81"/>
      <c r="E57" s="44"/>
      <c r="F57" s="45"/>
      <c r="G57" s="44"/>
      <c r="H57" s="82"/>
      <c r="I57" s="83"/>
      <c r="J57" s="84"/>
      <c r="K57" s="32" t="b">
        <v>0</v>
      </c>
      <c r="L57" s="27"/>
      <c r="M57" s="44"/>
    </row>
    <row r="58" spans="1:13" x14ac:dyDescent="0.3">
      <c r="A58" s="80"/>
      <c r="B58" s="44"/>
      <c r="C58" s="81"/>
      <c r="E58" s="44"/>
      <c r="F58" s="45"/>
      <c r="G58" s="44"/>
      <c r="H58" s="82"/>
      <c r="I58" s="83"/>
      <c r="J58" s="84"/>
      <c r="K58" s="32" t="b">
        <v>0</v>
      </c>
      <c r="L58" s="27"/>
      <c r="M58" s="44"/>
    </row>
    <row r="59" spans="1:13" x14ac:dyDescent="0.3">
      <c r="A59" s="80"/>
      <c r="B59" s="44"/>
      <c r="C59" s="81"/>
      <c r="E59" s="44"/>
      <c r="F59" s="45"/>
      <c r="G59" s="44"/>
      <c r="H59" s="82"/>
      <c r="I59" s="83"/>
      <c r="J59" s="84"/>
      <c r="K59" s="32" t="b">
        <v>0</v>
      </c>
      <c r="L59" s="27"/>
      <c r="M59" s="44"/>
    </row>
    <row r="60" spans="1:13" x14ac:dyDescent="0.3">
      <c r="A60" s="80"/>
      <c r="B60" s="44"/>
      <c r="C60" s="81"/>
      <c r="E60" s="44"/>
      <c r="F60" s="45"/>
      <c r="G60" s="44"/>
      <c r="H60" s="82"/>
      <c r="I60" s="83"/>
      <c r="J60" s="84"/>
      <c r="K60" s="32" t="b">
        <v>0</v>
      </c>
      <c r="L60" s="27"/>
      <c r="M60" s="44"/>
    </row>
    <row r="61" spans="1:13" x14ac:dyDescent="0.3">
      <c r="A61" s="80"/>
      <c r="B61" s="44"/>
      <c r="C61" s="81"/>
      <c r="E61" s="44"/>
      <c r="F61" s="45"/>
      <c r="G61" s="44"/>
      <c r="H61" s="82"/>
      <c r="I61" s="83"/>
      <c r="J61" s="84"/>
      <c r="K61" s="32" t="b">
        <v>0</v>
      </c>
      <c r="L61" s="27"/>
      <c r="M61" s="44"/>
    </row>
    <row r="62" spans="1:13" x14ac:dyDescent="0.3">
      <c r="A62" s="80"/>
      <c r="B62" s="44"/>
      <c r="C62" s="81"/>
      <c r="E62" s="44"/>
      <c r="F62" s="45"/>
      <c r="G62" s="44"/>
      <c r="H62" s="82"/>
      <c r="I62" s="83"/>
      <c r="J62" s="84"/>
      <c r="K62" s="32" t="b">
        <v>0</v>
      </c>
      <c r="L62" s="27"/>
      <c r="M62" s="44"/>
    </row>
    <row r="63" spans="1:13" x14ac:dyDescent="0.3">
      <c r="A63" s="80"/>
      <c r="B63" s="44"/>
      <c r="C63" s="81"/>
      <c r="E63" s="44"/>
      <c r="F63" s="45"/>
      <c r="G63" s="44"/>
      <c r="H63" s="82"/>
      <c r="I63" s="83"/>
      <c r="J63" s="84"/>
      <c r="K63" s="32" t="b">
        <v>0</v>
      </c>
      <c r="L63" s="27"/>
      <c r="M63" s="44"/>
    </row>
    <row r="64" spans="1:13" x14ac:dyDescent="0.3">
      <c r="A64" s="80"/>
      <c r="B64" s="44"/>
      <c r="C64" s="81"/>
      <c r="E64" s="44"/>
      <c r="F64" s="45"/>
      <c r="G64" s="44"/>
      <c r="H64" s="82"/>
      <c r="I64" s="83"/>
      <c r="J64" s="84"/>
      <c r="K64" s="32" t="b">
        <v>0</v>
      </c>
      <c r="L64" s="27"/>
      <c r="M64" s="44"/>
    </row>
    <row r="65" spans="1:13" x14ac:dyDescent="0.3">
      <c r="A65" s="80"/>
      <c r="B65" s="44"/>
      <c r="C65" s="81"/>
      <c r="E65" s="44"/>
      <c r="F65" s="45"/>
      <c r="G65" s="44"/>
      <c r="H65" s="82"/>
      <c r="I65" s="83"/>
      <c r="J65" s="84"/>
      <c r="K65" s="32" t="b">
        <v>0</v>
      </c>
      <c r="L65" s="27"/>
      <c r="M65" s="44"/>
    </row>
    <row r="66" spans="1:13" x14ac:dyDescent="0.3">
      <c r="A66" s="80"/>
      <c r="B66" s="44"/>
      <c r="C66" s="81"/>
      <c r="E66" s="44"/>
      <c r="F66" s="45"/>
      <c r="G66" s="44"/>
      <c r="H66" s="82"/>
      <c r="I66" s="83"/>
      <c r="J66" s="84"/>
      <c r="K66" s="32" t="b">
        <v>0</v>
      </c>
      <c r="L66" s="27"/>
      <c r="M66" s="44"/>
    </row>
    <row r="67" spans="1:13" x14ac:dyDescent="0.3">
      <c r="A67" s="80"/>
      <c r="B67" s="44"/>
      <c r="C67" s="81"/>
      <c r="E67" s="44"/>
      <c r="F67" s="45"/>
      <c r="G67" s="44"/>
      <c r="H67" s="82"/>
      <c r="I67" s="83"/>
      <c r="J67" s="84"/>
      <c r="K67" s="32" t="b">
        <v>0</v>
      </c>
      <c r="L67" s="27"/>
      <c r="M67" s="44"/>
    </row>
    <row r="68" spans="1:13" x14ac:dyDescent="0.3">
      <c r="A68" s="80"/>
      <c r="B68" s="44"/>
      <c r="C68" s="81"/>
      <c r="E68" s="44"/>
      <c r="F68" s="45"/>
      <c r="G68" s="44"/>
      <c r="H68" s="82"/>
      <c r="I68" s="83"/>
      <c r="J68" s="84"/>
      <c r="K68" s="32" t="b">
        <v>0</v>
      </c>
      <c r="L68" s="27"/>
      <c r="M68" s="44"/>
    </row>
    <row r="69" spans="1:13" x14ac:dyDescent="0.3">
      <c r="A69" s="80"/>
      <c r="B69" s="44"/>
      <c r="C69" s="81"/>
      <c r="E69" s="44"/>
      <c r="F69" s="45"/>
      <c r="G69" s="44"/>
      <c r="H69" s="82"/>
      <c r="I69" s="83"/>
      <c r="J69" s="84"/>
      <c r="K69" s="32" t="b">
        <v>0</v>
      </c>
      <c r="L69" s="27"/>
      <c r="M69" s="44"/>
    </row>
    <row r="70" spans="1:13" x14ac:dyDescent="0.3">
      <c r="A70" s="80"/>
      <c r="B70" s="44"/>
      <c r="C70" s="81"/>
      <c r="E70" s="44"/>
      <c r="F70" s="45"/>
      <c r="G70" s="44"/>
      <c r="H70" s="82"/>
      <c r="I70" s="83"/>
      <c r="J70" s="84"/>
      <c r="K70" s="32" t="b">
        <v>0</v>
      </c>
      <c r="L70" s="27"/>
      <c r="M70" s="44"/>
    </row>
    <row r="71" spans="1:13" x14ac:dyDescent="0.3">
      <c r="A71" s="80"/>
      <c r="B71" s="44"/>
      <c r="C71" s="81"/>
      <c r="E71" s="44"/>
      <c r="F71" s="45"/>
      <c r="G71" s="44"/>
      <c r="H71" s="82"/>
      <c r="I71" s="83"/>
      <c r="J71" s="84"/>
      <c r="K71" s="32" t="b">
        <v>0</v>
      </c>
      <c r="L71" s="27"/>
      <c r="M71" s="44"/>
    </row>
    <row r="72" spans="1:13" x14ac:dyDescent="0.3">
      <c r="A72" s="80"/>
      <c r="B72" s="44"/>
      <c r="C72" s="81"/>
      <c r="E72" s="44"/>
      <c r="F72" s="45"/>
      <c r="G72" s="44"/>
      <c r="H72" s="82"/>
      <c r="I72" s="83"/>
      <c r="J72" s="84"/>
      <c r="K72" s="32" t="b">
        <v>0</v>
      </c>
      <c r="L72" s="27"/>
      <c r="M72" s="44"/>
    </row>
    <row r="73" spans="1:13" x14ac:dyDescent="0.3">
      <c r="A73" s="80"/>
      <c r="B73" s="44"/>
      <c r="C73" s="81"/>
      <c r="E73" s="44"/>
      <c r="F73" s="45"/>
      <c r="G73" s="44"/>
      <c r="H73" s="82"/>
      <c r="I73" s="83"/>
      <c r="J73" s="84"/>
      <c r="K73" s="32" t="b">
        <v>0</v>
      </c>
      <c r="L73" s="27"/>
      <c r="M73" s="44"/>
    </row>
    <row r="74" spans="1:13" x14ac:dyDescent="0.3">
      <c r="A74" s="80"/>
      <c r="B74" s="44"/>
      <c r="C74" s="81"/>
      <c r="E74" s="44"/>
      <c r="F74" s="45"/>
      <c r="G74" s="44"/>
      <c r="H74" s="82"/>
      <c r="I74" s="83"/>
      <c r="J74" s="84"/>
      <c r="K74" s="32" t="b">
        <v>0</v>
      </c>
      <c r="L74" s="27"/>
      <c r="M74" s="44"/>
    </row>
    <row r="75" spans="1:13" x14ac:dyDescent="0.3">
      <c r="A75" s="80"/>
      <c r="B75" s="44"/>
      <c r="C75" s="81"/>
      <c r="E75" s="44"/>
      <c r="F75" s="45"/>
      <c r="G75" s="44"/>
      <c r="H75" s="82"/>
      <c r="I75" s="83"/>
      <c r="J75" s="84"/>
      <c r="K75" s="32" t="b">
        <v>0</v>
      </c>
      <c r="L75" s="27"/>
      <c r="M75" s="44"/>
    </row>
    <row r="76" spans="1:13" x14ac:dyDescent="0.3">
      <c r="A76" s="80"/>
      <c r="B76" s="44"/>
      <c r="C76" s="81"/>
      <c r="E76" s="44"/>
      <c r="F76" s="45"/>
      <c r="G76" s="44"/>
      <c r="H76" s="82"/>
      <c r="I76" s="83"/>
      <c r="J76" s="84"/>
      <c r="K76" s="32" t="b">
        <v>0</v>
      </c>
      <c r="L76" s="27"/>
      <c r="M76" s="44"/>
    </row>
    <row r="77" spans="1:13" x14ac:dyDescent="0.3">
      <c r="C77" s="15"/>
      <c r="H77"/>
      <c r="I77" s="57"/>
      <c r="J77"/>
      <c r="K77" s="32" t="b">
        <v>0</v>
      </c>
      <c r="M77"/>
    </row>
    <row r="78" spans="1:13" x14ac:dyDescent="0.3">
      <c r="C78" s="15"/>
      <c r="H78"/>
      <c r="I78" s="29"/>
      <c r="J78"/>
      <c r="K78" s="32" t="b">
        <v>0</v>
      </c>
      <c r="M78"/>
    </row>
    <row r="79" spans="1:13" x14ac:dyDescent="0.3">
      <c r="C79" s="15"/>
      <c r="G79" s="64"/>
      <c r="H79"/>
      <c r="I79" s="57"/>
      <c r="J79"/>
      <c r="K79" s="32" t="b">
        <v>0</v>
      </c>
      <c r="M79"/>
    </row>
    <row r="80" spans="1:13" x14ac:dyDescent="0.3">
      <c r="C80" s="15"/>
      <c r="F80" s="45"/>
      <c r="H80"/>
      <c r="I80"/>
      <c r="J80"/>
      <c r="K80" s="32" t="b">
        <v>0</v>
      </c>
      <c r="M80"/>
    </row>
    <row r="81" spans="1:13" x14ac:dyDescent="0.3">
      <c r="C81" s="15"/>
      <c r="F81" s="45"/>
      <c r="G81" s="44"/>
      <c r="H81" s="28"/>
      <c r="I81" s="29"/>
      <c r="J81" s="30"/>
      <c r="K81" s="32" t="b">
        <v>0</v>
      </c>
      <c r="L81" s="27"/>
      <c r="M81" s="44"/>
    </row>
    <row r="82" spans="1:13" x14ac:dyDescent="0.3">
      <c r="A82" s="80"/>
      <c r="B82" s="27"/>
      <c r="C82" s="85"/>
      <c r="E82" s="27"/>
      <c r="F82" s="45"/>
      <c r="G82" s="44"/>
      <c r="H82" s="28"/>
      <c r="I82" s="29"/>
      <c r="J82" s="30"/>
      <c r="K82" s="32" t="b">
        <v>0</v>
      </c>
      <c r="L82" s="27"/>
      <c r="M82" s="44"/>
    </row>
    <row r="84" spans="1:13" x14ac:dyDescent="0.3">
      <c r="B84" s="1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7"/>
  <sheetViews>
    <sheetView zoomScaleNormal="100" workbookViewId="0">
      <selection activeCell="K105" sqref="K2:K105"/>
    </sheetView>
  </sheetViews>
  <sheetFormatPr defaultRowHeight="14.4" x14ac:dyDescent="0.3"/>
  <cols>
    <col min="1" max="1" width="17.109375" bestFit="1" customWidth="1"/>
    <col min="2" max="2" width="15.6640625" customWidth="1"/>
    <col min="3" max="3" width="18.33203125" style="2" bestFit="1" customWidth="1"/>
    <col min="4" max="4" width="21.5546875" style="21" bestFit="1" customWidth="1"/>
    <col min="5" max="5" width="15" customWidth="1"/>
    <col min="6" max="6" width="17" style="3" bestFit="1" customWidth="1"/>
    <col min="7" max="7" width="18.5546875" style="26" bestFit="1" customWidth="1"/>
    <col min="8" max="8" width="20.6640625" style="6" bestFit="1" customWidth="1"/>
    <col min="9" max="9" width="17.6640625" style="2" bestFit="1" customWidth="1"/>
    <col min="10" max="10" width="12.44140625" style="19" bestFit="1" customWidth="1"/>
    <col min="11" max="11" width="17.33203125" customWidth="1"/>
    <col min="12" max="12" width="39.33203125" bestFit="1" customWidth="1"/>
    <col min="13" max="13" width="27.6640625" style="26" bestFit="1" customWidth="1"/>
  </cols>
  <sheetData>
    <row r="1" spans="1:13" x14ac:dyDescent="0.3">
      <c r="A1" t="s">
        <v>0</v>
      </c>
      <c r="B1" t="s">
        <v>13</v>
      </c>
      <c r="C1" s="2" t="s">
        <v>2</v>
      </c>
      <c r="D1" s="21" t="s">
        <v>14</v>
      </c>
      <c r="E1" t="s">
        <v>4</v>
      </c>
      <c r="F1" s="3" t="s">
        <v>5</v>
      </c>
      <c r="G1" s="26" t="s">
        <v>6</v>
      </c>
      <c r="H1" s="24" t="s">
        <v>7</v>
      </c>
      <c r="I1" s="2" t="s">
        <v>8</v>
      </c>
      <c r="J1" s="19" t="s">
        <v>9</v>
      </c>
      <c r="K1" t="s">
        <v>15</v>
      </c>
      <c r="L1" t="s">
        <v>11</v>
      </c>
      <c r="M1" s="26" t="s">
        <v>12</v>
      </c>
    </row>
    <row r="2" spans="1:13" x14ac:dyDescent="0.3">
      <c r="C2" s="1"/>
      <c r="F2" s="21"/>
      <c r="H2" s="24"/>
      <c r="K2" s="20" t="b">
        <v>0</v>
      </c>
      <c r="M2" s="21"/>
    </row>
    <row r="3" spans="1:13" x14ac:dyDescent="0.3">
      <c r="C3" s="1"/>
      <c r="F3" s="21"/>
      <c r="H3" s="24"/>
      <c r="K3" s="20" t="b">
        <v>0</v>
      </c>
      <c r="M3" s="21"/>
    </row>
    <row r="4" spans="1:13" x14ac:dyDescent="0.3">
      <c r="C4" s="1"/>
      <c r="F4" s="21"/>
      <c r="H4" s="24"/>
      <c r="K4" s="20" t="b">
        <v>0</v>
      </c>
      <c r="M4" s="21"/>
    </row>
    <row r="5" spans="1:13" x14ac:dyDescent="0.3">
      <c r="C5" s="1"/>
      <c r="F5" s="21"/>
      <c r="H5" s="24"/>
      <c r="K5" s="20" t="b">
        <v>0</v>
      </c>
      <c r="M5" s="21"/>
    </row>
    <row r="6" spans="1:13" x14ac:dyDescent="0.3">
      <c r="C6" s="1"/>
      <c r="F6" s="21"/>
      <c r="H6" s="24"/>
      <c r="K6" s="20" t="b">
        <v>0</v>
      </c>
      <c r="M6" s="21"/>
    </row>
    <row r="7" spans="1:13" x14ac:dyDescent="0.3">
      <c r="C7" s="1"/>
      <c r="F7" s="21"/>
      <c r="H7" s="24"/>
      <c r="K7" s="20" t="b">
        <v>0</v>
      </c>
      <c r="M7" s="21"/>
    </row>
    <row r="8" spans="1:13" x14ac:dyDescent="0.3">
      <c r="C8" s="1"/>
      <c r="F8" s="21"/>
      <c r="H8" s="24"/>
      <c r="K8" s="20" t="b">
        <v>0</v>
      </c>
      <c r="M8" s="21"/>
    </row>
    <row r="9" spans="1:13" x14ac:dyDescent="0.3">
      <c r="C9" s="1"/>
      <c r="F9" s="21"/>
      <c r="H9" s="24"/>
      <c r="K9" s="20" t="b">
        <v>0</v>
      </c>
      <c r="M9" s="21"/>
    </row>
    <row r="10" spans="1:13" x14ac:dyDescent="0.3">
      <c r="C10" s="1"/>
      <c r="F10" s="21"/>
      <c r="H10" s="24"/>
      <c r="K10" s="20" t="b">
        <v>0</v>
      </c>
      <c r="M10" s="21"/>
    </row>
    <row r="11" spans="1:13" x14ac:dyDescent="0.3">
      <c r="C11" s="1"/>
      <c r="F11" s="21"/>
      <c r="H11" s="24"/>
      <c r="K11" s="20" t="b">
        <v>0</v>
      </c>
      <c r="M11" s="21"/>
    </row>
    <row r="12" spans="1:13" x14ac:dyDescent="0.3">
      <c r="C12" s="1"/>
      <c r="F12" s="21"/>
      <c r="H12" s="24"/>
      <c r="K12" s="20" t="b">
        <v>0</v>
      </c>
      <c r="M12" s="21"/>
    </row>
    <row r="13" spans="1:13" x14ac:dyDescent="0.3">
      <c r="C13" s="1"/>
      <c r="F13" s="21"/>
      <c r="H13" s="24"/>
      <c r="K13" s="20" t="b">
        <v>0</v>
      </c>
      <c r="M13" s="21"/>
    </row>
    <row r="14" spans="1:13" x14ac:dyDescent="0.3">
      <c r="C14" s="1"/>
      <c r="F14" s="21"/>
      <c r="H14" s="24"/>
      <c r="K14" s="20" t="b">
        <v>0</v>
      </c>
      <c r="M14" s="21"/>
    </row>
    <row r="15" spans="1:13" x14ac:dyDescent="0.3">
      <c r="C15" s="1"/>
      <c r="F15" s="21"/>
      <c r="H15" s="24"/>
      <c r="K15" s="20" t="b">
        <v>0</v>
      </c>
      <c r="M15" s="21"/>
    </row>
    <row r="16" spans="1:13" x14ac:dyDescent="0.3">
      <c r="C16" s="1"/>
      <c r="F16" s="21"/>
      <c r="H16" s="24"/>
      <c r="K16" s="20" t="b">
        <v>0</v>
      </c>
      <c r="M16" s="21"/>
    </row>
    <row r="17" spans="3:13" x14ac:dyDescent="0.3">
      <c r="C17" s="1"/>
      <c r="F17" s="21"/>
      <c r="H17" s="24"/>
      <c r="K17" s="20" t="b">
        <v>0</v>
      </c>
      <c r="M17" s="21"/>
    </row>
    <row r="18" spans="3:13" x14ac:dyDescent="0.3">
      <c r="C18" s="1"/>
      <c r="F18" s="21"/>
      <c r="H18" s="24"/>
      <c r="K18" s="20" t="b">
        <v>0</v>
      </c>
      <c r="M18" s="21"/>
    </row>
    <row r="19" spans="3:13" x14ac:dyDescent="0.3">
      <c r="C19" s="1"/>
      <c r="F19" s="21"/>
      <c r="H19" s="24"/>
      <c r="K19" s="20" t="b">
        <v>0</v>
      </c>
      <c r="M19" s="21"/>
    </row>
    <row r="20" spans="3:13" x14ac:dyDescent="0.3">
      <c r="C20" s="1"/>
      <c r="F20" s="21"/>
      <c r="H20" s="24"/>
      <c r="K20" s="20" t="b">
        <v>0</v>
      </c>
      <c r="M20" s="21"/>
    </row>
    <row r="21" spans="3:13" x14ac:dyDescent="0.3">
      <c r="C21" s="1"/>
      <c r="F21" s="21"/>
      <c r="H21" s="24"/>
      <c r="K21" s="20" t="b">
        <v>0</v>
      </c>
      <c r="M21" s="21"/>
    </row>
    <row r="22" spans="3:13" x14ac:dyDescent="0.3">
      <c r="C22" s="1"/>
      <c r="F22" s="21"/>
      <c r="H22" s="24"/>
      <c r="K22" s="20" t="b">
        <v>0</v>
      </c>
      <c r="M22" s="21"/>
    </row>
    <row r="23" spans="3:13" x14ac:dyDescent="0.3">
      <c r="C23" s="1"/>
      <c r="F23" s="21"/>
      <c r="H23" s="24"/>
      <c r="K23" s="20" t="b">
        <v>0</v>
      </c>
      <c r="M23" s="21"/>
    </row>
    <row r="24" spans="3:13" x14ac:dyDescent="0.3">
      <c r="C24" s="1"/>
      <c r="F24" s="21"/>
      <c r="H24" s="24"/>
      <c r="K24" s="20" t="b">
        <v>0</v>
      </c>
      <c r="M24" s="21"/>
    </row>
    <row r="25" spans="3:13" x14ac:dyDescent="0.3">
      <c r="C25" s="1"/>
      <c r="F25" s="21"/>
      <c r="H25" s="24"/>
      <c r="K25" s="20" t="b">
        <v>0</v>
      </c>
      <c r="M25" s="21"/>
    </row>
    <row r="26" spans="3:13" x14ac:dyDescent="0.3">
      <c r="C26" s="1"/>
      <c r="F26" s="21"/>
      <c r="H26" s="24"/>
      <c r="K26" s="20" t="b">
        <v>0</v>
      </c>
      <c r="M26" s="21"/>
    </row>
    <row r="27" spans="3:13" x14ac:dyDescent="0.3">
      <c r="C27" s="1"/>
      <c r="F27" s="21"/>
      <c r="H27" s="24"/>
      <c r="K27" s="20" t="b">
        <v>0</v>
      </c>
      <c r="M27" s="21"/>
    </row>
    <row r="28" spans="3:13" x14ac:dyDescent="0.3">
      <c r="C28" s="1"/>
      <c r="F28" s="21"/>
      <c r="H28" s="24"/>
      <c r="K28" s="20" t="b">
        <v>0</v>
      </c>
      <c r="M28" s="21"/>
    </row>
    <row r="29" spans="3:13" x14ac:dyDescent="0.3">
      <c r="C29" s="1"/>
      <c r="F29" s="21"/>
      <c r="H29" s="24"/>
      <c r="K29" s="20" t="b">
        <v>0</v>
      </c>
      <c r="M29" s="21"/>
    </row>
    <row r="30" spans="3:13" x14ac:dyDescent="0.3">
      <c r="C30" s="1"/>
      <c r="F30" s="21"/>
      <c r="H30" s="24"/>
      <c r="K30" s="20" t="b">
        <v>0</v>
      </c>
      <c r="M30" s="21"/>
    </row>
    <row r="31" spans="3:13" x14ac:dyDescent="0.3">
      <c r="C31" s="1"/>
      <c r="F31" s="21"/>
      <c r="H31" s="24"/>
      <c r="K31" s="20" t="b">
        <v>0</v>
      </c>
      <c r="M31" s="21"/>
    </row>
    <row r="32" spans="3:13" x14ac:dyDescent="0.3">
      <c r="C32" s="1"/>
      <c r="F32" s="21"/>
      <c r="H32" s="24"/>
      <c r="K32" s="20" t="b">
        <v>0</v>
      </c>
      <c r="M32" s="21"/>
    </row>
    <row r="33" spans="3:13" x14ac:dyDescent="0.3">
      <c r="C33" s="1"/>
      <c r="F33" s="21"/>
      <c r="H33" s="24"/>
      <c r="K33" s="20" t="b">
        <v>0</v>
      </c>
      <c r="M33" s="21"/>
    </row>
    <row r="34" spans="3:13" x14ac:dyDescent="0.3">
      <c r="C34" s="1"/>
      <c r="F34" s="21"/>
      <c r="H34" s="24"/>
      <c r="K34" s="20" t="b">
        <v>0</v>
      </c>
      <c r="M34" s="21"/>
    </row>
    <row r="35" spans="3:13" x14ac:dyDescent="0.3">
      <c r="C35" s="1"/>
      <c r="F35" s="21"/>
      <c r="H35" s="24"/>
      <c r="K35" s="20" t="b">
        <v>0</v>
      </c>
      <c r="M35" s="21"/>
    </row>
    <row r="36" spans="3:13" x14ac:dyDescent="0.3">
      <c r="C36" s="1"/>
      <c r="F36" s="21"/>
      <c r="H36" s="24"/>
      <c r="K36" s="20" t="b">
        <v>0</v>
      </c>
      <c r="M36" s="21"/>
    </row>
    <row r="37" spans="3:13" x14ac:dyDescent="0.3">
      <c r="C37" s="1"/>
      <c r="F37" s="21"/>
      <c r="H37" s="24"/>
      <c r="K37" s="20" t="b">
        <v>0</v>
      </c>
      <c r="M37" s="21"/>
    </row>
    <row r="38" spans="3:13" x14ac:dyDescent="0.3">
      <c r="C38" s="1"/>
      <c r="F38" s="21"/>
      <c r="H38" s="24"/>
      <c r="K38" s="20" t="b">
        <v>0</v>
      </c>
      <c r="M38" s="21"/>
    </row>
    <row r="39" spans="3:13" x14ac:dyDescent="0.3">
      <c r="C39" s="1"/>
      <c r="F39" s="21"/>
      <c r="H39" s="24"/>
      <c r="K39" s="20" t="b">
        <v>0</v>
      </c>
      <c r="M39" s="21"/>
    </row>
    <row r="40" spans="3:13" x14ac:dyDescent="0.3">
      <c r="C40" s="1"/>
      <c r="F40" s="21"/>
      <c r="H40" s="24"/>
      <c r="K40" s="20" t="b">
        <v>0</v>
      </c>
      <c r="M40" s="21"/>
    </row>
    <row r="41" spans="3:13" x14ac:dyDescent="0.3">
      <c r="C41" s="1"/>
      <c r="F41" s="21"/>
      <c r="H41" s="24"/>
      <c r="K41" s="20" t="b">
        <v>0</v>
      </c>
      <c r="M41" s="21"/>
    </row>
    <row r="42" spans="3:13" x14ac:dyDescent="0.3">
      <c r="C42" s="1"/>
      <c r="F42" s="21"/>
      <c r="H42" s="24"/>
      <c r="K42" s="20" t="b">
        <v>0</v>
      </c>
      <c r="M42" s="21"/>
    </row>
    <row r="43" spans="3:13" x14ac:dyDescent="0.3">
      <c r="C43" s="1"/>
      <c r="F43" s="21"/>
      <c r="H43" s="24"/>
      <c r="K43" s="20" t="b">
        <v>0</v>
      </c>
      <c r="M43" s="21"/>
    </row>
    <row r="44" spans="3:13" x14ac:dyDescent="0.3">
      <c r="C44" s="1"/>
      <c r="F44" s="21"/>
      <c r="H44" s="24"/>
      <c r="K44" s="20" t="b">
        <v>0</v>
      </c>
      <c r="M44" s="21"/>
    </row>
    <row r="45" spans="3:13" x14ac:dyDescent="0.3">
      <c r="C45" s="1"/>
      <c r="F45" s="21"/>
      <c r="H45" s="24"/>
      <c r="K45" s="20" t="b">
        <v>0</v>
      </c>
      <c r="M45" s="21"/>
    </row>
    <row r="46" spans="3:13" x14ac:dyDescent="0.3">
      <c r="C46" s="1"/>
      <c r="F46" s="21"/>
      <c r="H46" s="24"/>
      <c r="K46" s="20" t="b">
        <v>0</v>
      </c>
      <c r="M46" s="21"/>
    </row>
    <row r="47" spans="3:13" x14ac:dyDescent="0.3">
      <c r="C47" s="1"/>
      <c r="F47" s="21"/>
      <c r="H47" s="24"/>
      <c r="K47" s="20" t="b">
        <v>0</v>
      </c>
      <c r="M47" s="21"/>
    </row>
    <row r="48" spans="3:13" x14ac:dyDescent="0.3">
      <c r="C48" s="1"/>
      <c r="F48" s="21"/>
      <c r="H48" s="24"/>
      <c r="K48" s="20" t="b">
        <v>0</v>
      </c>
      <c r="M48" s="21"/>
    </row>
    <row r="49" spans="3:13" x14ac:dyDescent="0.3">
      <c r="C49" s="1"/>
      <c r="F49" s="21"/>
      <c r="H49" s="24"/>
      <c r="K49" s="20" t="b">
        <v>0</v>
      </c>
      <c r="M49" s="21"/>
    </row>
    <row r="50" spans="3:13" x14ac:dyDescent="0.3">
      <c r="C50" s="1"/>
      <c r="F50" s="21"/>
      <c r="H50" s="24"/>
      <c r="K50" s="20" t="b">
        <v>0</v>
      </c>
      <c r="M50" s="21"/>
    </row>
    <row r="51" spans="3:13" x14ac:dyDescent="0.3">
      <c r="C51" s="1"/>
      <c r="F51" s="21"/>
      <c r="H51" s="24"/>
      <c r="K51" s="20" t="b">
        <v>0</v>
      </c>
      <c r="M51" s="21"/>
    </row>
    <row r="52" spans="3:13" x14ac:dyDescent="0.3">
      <c r="C52" s="1"/>
      <c r="F52" s="21"/>
      <c r="H52" s="24"/>
      <c r="K52" s="20" t="b">
        <v>0</v>
      </c>
      <c r="M52" s="21"/>
    </row>
    <row r="53" spans="3:13" x14ac:dyDescent="0.3">
      <c r="C53" s="1"/>
      <c r="F53" s="21"/>
      <c r="H53" s="24"/>
      <c r="K53" s="20" t="b">
        <v>0</v>
      </c>
      <c r="M53" s="21"/>
    </row>
    <row r="54" spans="3:13" x14ac:dyDescent="0.3">
      <c r="C54" s="1"/>
      <c r="F54" s="21"/>
      <c r="H54" s="24"/>
      <c r="K54" s="20" t="b">
        <v>0</v>
      </c>
      <c r="M54" s="21"/>
    </row>
    <row r="55" spans="3:13" x14ac:dyDescent="0.3">
      <c r="C55" s="1"/>
      <c r="F55" s="21"/>
      <c r="H55" s="24"/>
      <c r="K55" s="20" t="b">
        <v>0</v>
      </c>
      <c r="M55" s="21"/>
    </row>
    <row r="56" spans="3:13" x14ac:dyDescent="0.3">
      <c r="C56" s="1"/>
      <c r="F56" s="21"/>
      <c r="H56" s="24"/>
      <c r="K56" s="20" t="b">
        <v>0</v>
      </c>
      <c r="M56" s="21"/>
    </row>
    <row r="57" spans="3:13" x14ac:dyDescent="0.3">
      <c r="C57" s="1"/>
      <c r="F57" s="21"/>
      <c r="H57" s="24"/>
      <c r="K57" s="20" t="b">
        <v>0</v>
      </c>
      <c r="M57" s="21"/>
    </row>
    <row r="58" spans="3:13" x14ac:dyDescent="0.3">
      <c r="C58" s="1"/>
      <c r="F58" s="21"/>
      <c r="H58" s="24"/>
      <c r="K58" s="20" t="b">
        <v>0</v>
      </c>
      <c r="M58" s="21"/>
    </row>
    <row r="59" spans="3:13" x14ac:dyDescent="0.3">
      <c r="C59" s="1"/>
      <c r="F59" s="21"/>
      <c r="H59" s="24"/>
      <c r="K59" s="20" t="b">
        <v>0</v>
      </c>
      <c r="M59" s="21"/>
    </row>
    <row r="60" spans="3:13" x14ac:dyDescent="0.3">
      <c r="C60" s="1"/>
      <c r="F60" s="21"/>
      <c r="H60" s="24"/>
      <c r="K60" s="20" t="b">
        <v>0</v>
      </c>
      <c r="M60" s="21"/>
    </row>
    <row r="61" spans="3:13" x14ac:dyDescent="0.3">
      <c r="C61" s="1"/>
      <c r="F61" s="21"/>
      <c r="H61" s="24"/>
      <c r="K61" s="20" t="b">
        <v>0</v>
      </c>
      <c r="M61" s="21"/>
    </row>
    <row r="62" spans="3:13" x14ac:dyDescent="0.3">
      <c r="C62" s="1"/>
      <c r="F62" s="21"/>
      <c r="H62" s="24"/>
      <c r="K62" s="20" t="b">
        <v>0</v>
      </c>
      <c r="M62" s="21"/>
    </row>
    <row r="63" spans="3:13" x14ac:dyDescent="0.3">
      <c r="C63" s="1"/>
      <c r="F63" s="21"/>
      <c r="H63" s="24"/>
      <c r="K63" s="20" t="b">
        <v>0</v>
      </c>
      <c r="M63" s="21"/>
    </row>
    <row r="64" spans="3:13" x14ac:dyDescent="0.3">
      <c r="C64" s="1"/>
      <c r="F64" s="21"/>
      <c r="H64" s="24"/>
      <c r="K64" s="20" t="b">
        <v>0</v>
      </c>
      <c r="M64" s="21"/>
    </row>
    <row r="65" spans="3:13" x14ac:dyDescent="0.3">
      <c r="C65" s="1"/>
      <c r="F65" s="21"/>
      <c r="H65" s="24"/>
      <c r="K65" s="20" t="b">
        <v>0</v>
      </c>
      <c r="M65" s="21"/>
    </row>
    <row r="66" spans="3:13" x14ac:dyDescent="0.3">
      <c r="C66" s="1"/>
      <c r="F66" s="21"/>
      <c r="H66" s="24"/>
      <c r="K66" s="20" t="b">
        <v>0</v>
      </c>
      <c r="M66" s="21"/>
    </row>
    <row r="67" spans="3:13" x14ac:dyDescent="0.3">
      <c r="C67" s="1"/>
      <c r="F67" s="21"/>
      <c r="H67" s="24"/>
      <c r="K67" s="20" t="b">
        <v>0</v>
      </c>
      <c r="M67" s="21"/>
    </row>
    <row r="68" spans="3:13" x14ac:dyDescent="0.3">
      <c r="C68" s="1"/>
      <c r="F68" s="21"/>
      <c r="H68" s="24"/>
      <c r="K68" s="20" t="b">
        <v>0</v>
      </c>
      <c r="M68" s="21"/>
    </row>
    <row r="69" spans="3:13" x14ac:dyDescent="0.3">
      <c r="C69" s="1"/>
      <c r="F69" s="21"/>
      <c r="H69" s="24"/>
      <c r="K69" s="20" t="b">
        <v>0</v>
      </c>
      <c r="M69" s="21"/>
    </row>
    <row r="70" spans="3:13" x14ac:dyDescent="0.3">
      <c r="C70" s="1"/>
      <c r="F70" s="21"/>
      <c r="H70" s="24"/>
      <c r="K70" s="20" t="b">
        <v>0</v>
      </c>
      <c r="M70" s="21"/>
    </row>
    <row r="71" spans="3:13" x14ac:dyDescent="0.3">
      <c r="C71" s="1"/>
      <c r="F71" s="21"/>
      <c r="H71" s="24"/>
      <c r="K71" s="20" t="b">
        <v>0</v>
      </c>
      <c r="M71" s="21"/>
    </row>
    <row r="72" spans="3:13" x14ac:dyDescent="0.3">
      <c r="C72" s="1"/>
      <c r="F72" s="21"/>
      <c r="H72" s="24"/>
      <c r="K72" s="20" t="b">
        <v>0</v>
      </c>
      <c r="M72" s="21"/>
    </row>
    <row r="73" spans="3:13" x14ac:dyDescent="0.3">
      <c r="C73" s="1"/>
      <c r="F73" s="21"/>
      <c r="H73" s="24"/>
      <c r="K73" s="20" t="b">
        <v>0</v>
      </c>
      <c r="M73" s="21"/>
    </row>
    <row r="74" spans="3:13" x14ac:dyDescent="0.3">
      <c r="C74" s="1"/>
      <c r="F74" s="21"/>
      <c r="H74" s="24"/>
      <c r="K74" s="20" t="b">
        <v>0</v>
      </c>
      <c r="M74" s="21"/>
    </row>
    <row r="75" spans="3:13" x14ac:dyDescent="0.3">
      <c r="C75" s="1"/>
      <c r="F75" s="21"/>
      <c r="H75" s="24"/>
      <c r="K75" s="20" t="b">
        <v>0</v>
      </c>
      <c r="M75" s="21"/>
    </row>
    <row r="76" spans="3:13" x14ac:dyDescent="0.3">
      <c r="C76" s="1"/>
      <c r="F76" s="21"/>
      <c r="H76" s="24"/>
      <c r="K76" s="20" t="b">
        <v>0</v>
      </c>
      <c r="M76" s="21"/>
    </row>
    <row r="77" spans="3:13" x14ac:dyDescent="0.3">
      <c r="C77" s="1"/>
      <c r="F77" s="21"/>
      <c r="H77" s="24"/>
      <c r="K77" s="20" t="b">
        <v>0</v>
      </c>
      <c r="M77" s="21"/>
    </row>
    <row r="78" spans="3:13" x14ac:dyDescent="0.3">
      <c r="C78" s="1"/>
      <c r="F78" s="21"/>
      <c r="H78" s="24"/>
      <c r="K78" s="20" t="b">
        <v>0</v>
      </c>
      <c r="M78" s="21"/>
    </row>
    <row r="79" spans="3:13" x14ac:dyDescent="0.3">
      <c r="C79" s="1"/>
      <c r="F79" s="21"/>
      <c r="H79" s="24"/>
      <c r="K79" s="20" t="b">
        <v>0</v>
      </c>
      <c r="M79" s="21"/>
    </row>
    <row r="80" spans="3:13" x14ac:dyDescent="0.3">
      <c r="C80" s="1"/>
      <c r="F80" s="21"/>
      <c r="H80" s="24"/>
      <c r="K80" s="20" t="b">
        <v>0</v>
      </c>
      <c r="M80" s="21"/>
    </row>
    <row r="81" spans="3:13" x14ac:dyDescent="0.3">
      <c r="C81" s="1"/>
      <c r="F81" s="21"/>
      <c r="H81" s="24"/>
      <c r="K81" s="20" t="b">
        <v>0</v>
      </c>
      <c r="M81" s="21"/>
    </row>
    <row r="82" spans="3:13" x14ac:dyDescent="0.3">
      <c r="C82" s="1"/>
      <c r="F82" s="21"/>
      <c r="H82" s="24"/>
      <c r="K82" s="20" t="b">
        <v>0</v>
      </c>
      <c r="M82" s="21"/>
    </row>
    <row r="83" spans="3:13" x14ac:dyDescent="0.3">
      <c r="C83" s="1"/>
      <c r="F83" s="21"/>
      <c r="H83" s="24"/>
      <c r="K83" s="20" t="b">
        <v>0</v>
      </c>
      <c r="M83" s="21"/>
    </row>
    <row r="84" spans="3:13" x14ac:dyDescent="0.3">
      <c r="C84" s="1"/>
      <c r="F84" s="21"/>
      <c r="H84" s="24"/>
      <c r="K84" s="20" t="b">
        <v>0</v>
      </c>
      <c r="M84" s="21"/>
    </row>
    <row r="85" spans="3:13" x14ac:dyDescent="0.3">
      <c r="C85" s="1"/>
      <c r="F85" s="21"/>
      <c r="H85" s="24"/>
      <c r="K85" s="20" t="b">
        <v>0</v>
      </c>
      <c r="M85" s="21"/>
    </row>
    <row r="86" spans="3:13" x14ac:dyDescent="0.3">
      <c r="C86" s="1"/>
      <c r="F86" s="21"/>
      <c r="H86" s="24"/>
      <c r="K86" s="20" t="b">
        <v>0</v>
      </c>
      <c r="M86" s="21"/>
    </row>
    <row r="87" spans="3:13" x14ac:dyDescent="0.3">
      <c r="C87" s="1"/>
      <c r="F87" s="21"/>
      <c r="H87" s="24"/>
      <c r="K87" s="20" t="b">
        <v>0</v>
      </c>
      <c r="M87" s="21"/>
    </row>
    <row r="88" spans="3:13" x14ac:dyDescent="0.3">
      <c r="C88" s="1"/>
      <c r="F88" s="21"/>
      <c r="H88" s="24"/>
      <c r="K88" s="20" t="b">
        <v>0</v>
      </c>
      <c r="M88" s="21"/>
    </row>
    <row r="89" spans="3:13" x14ac:dyDescent="0.3">
      <c r="C89" s="1"/>
      <c r="F89" s="21"/>
      <c r="H89" s="24"/>
      <c r="K89" s="20" t="b">
        <v>0</v>
      </c>
      <c r="M89" s="21"/>
    </row>
    <row r="90" spans="3:13" x14ac:dyDescent="0.3">
      <c r="C90" s="1"/>
      <c r="F90" s="21"/>
      <c r="H90" s="24"/>
      <c r="K90" s="20" t="b">
        <v>0</v>
      </c>
      <c r="M90" s="21"/>
    </row>
    <row r="91" spans="3:13" x14ac:dyDescent="0.3">
      <c r="C91" s="1"/>
      <c r="F91" s="21"/>
      <c r="H91" s="24"/>
      <c r="K91" s="20" t="b">
        <v>0</v>
      </c>
      <c r="M91" s="21"/>
    </row>
    <row r="92" spans="3:13" x14ac:dyDescent="0.3">
      <c r="C92" s="1"/>
      <c r="F92" s="21"/>
      <c r="H92" s="24"/>
      <c r="K92" s="20" t="b">
        <v>0</v>
      </c>
      <c r="M92" s="21"/>
    </row>
    <row r="93" spans="3:13" x14ac:dyDescent="0.3">
      <c r="C93" s="1"/>
      <c r="F93" s="21"/>
      <c r="H93" s="24"/>
      <c r="K93" s="20" t="b">
        <v>0</v>
      </c>
      <c r="M93" s="21"/>
    </row>
    <row r="94" spans="3:13" x14ac:dyDescent="0.3">
      <c r="C94" s="1"/>
      <c r="F94" s="21"/>
      <c r="H94" s="24"/>
      <c r="K94" s="20" t="b">
        <v>0</v>
      </c>
      <c r="M94" s="21"/>
    </row>
    <row r="95" spans="3:13" x14ac:dyDescent="0.3">
      <c r="C95" s="1"/>
      <c r="F95" s="21"/>
      <c r="H95" s="24"/>
      <c r="K95" s="20" t="b">
        <v>0</v>
      </c>
      <c r="M95" s="21"/>
    </row>
    <row r="96" spans="3:13" x14ac:dyDescent="0.3">
      <c r="C96" s="1"/>
      <c r="F96" s="21"/>
      <c r="H96" s="24"/>
      <c r="K96" s="20" t="b">
        <v>0</v>
      </c>
      <c r="M96" s="21"/>
    </row>
    <row r="97" spans="3:13" x14ac:dyDescent="0.3">
      <c r="C97" s="1"/>
      <c r="F97" s="21"/>
      <c r="H97" s="24"/>
      <c r="K97" s="20" t="b">
        <v>0</v>
      </c>
      <c r="M97" s="21"/>
    </row>
    <row r="98" spans="3:13" x14ac:dyDescent="0.3">
      <c r="C98" s="1"/>
      <c r="F98" s="21"/>
      <c r="H98" s="24"/>
      <c r="K98" s="20" t="b">
        <v>0</v>
      </c>
      <c r="M98" s="21"/>
    </row>
    <row r="99" spans="3:13" x14ac:dyDescent="0.3">
      <c r="C99" s="1"/>
      <c r="F99" s="21"/>
      <c r="H99" s="24"/>
      <c r="K99" s="20" t="b">
        <v>0</v>
      </c>
      <c r="M99" s="21"/>
    </row>
    <row r="100" spans="3:13" x14ac:dyDescent="0.3">
      <c r="C100" s="1"/>
      <c r="F100" s="21"/>
      <c r="H100" s="24"/>
      <c r="K100" s="20" t="b">
        <v>0</v>
      </c>
      <c r="M100" s="21"/>
    </row>
    <row r="101" spans="3:13" x14ac:dyDescent="0.3">
      <c r="C101" s="1"/>
      <c r="F101" s="21"/>
      <c r="H101" s="24"/>
      <c r="K101" s="20" t="b">
        <v>0</v>
      </c>
      <c r="M101" s="21"/>
    </row>
    <row r="102" spans="3:13" x14ac:dyDescent="0.3">
      <c r="C102" s="1"/>
      <c r="F102" s="21"/>
      <c r="H102" s="24"/>
      <c r="K102" s="20" t="b">
        <v>0</v>
      </c>
      <c r="M102" s="21"/>
    </row>
    <row r="103" spans="3:13" x14ac:dyDescent="0.3">
      <c r="C103" s="1"/>
      <c r="F103" s="21"/>
      <c r="H103" s="24"/>
      <c r="K103" s="20" t="b">
        <v>0</v>
      </c>
      <c r="M103" s="21"/>
    </row>
    <row r="104" spans="3:13" x14ac:dyDescent="0.3">
      <c r="C104" s="1"/>
      <c r="F104" s="21"/>
      <c r="H104" s="24"/>
      <c r="K104" s="20" t="b">
        <v>0</v>
      </c>
      <c r="M104" s="21"/>
    </row>
    <row r="105" spans="3:13" x14ac:dyDescent="0.3">
      <c r="C105" s="15"/>
      <c r="F105" s="21"/>
      <c r="G105"/>
      <c r="H105"/>
      <c r="I105"/>
      <c r="J105"/>
      <c r="K105" s="20" t="b">
        <v>0</v>
      </c>
      <c r="M105" s="3"/>
    </row>
    <row r="106" spans="3:13" x14ac:dyDescent="0.3">
      <c r="C106" s="15"/>
      <c r="G106"/>
      <c r="H106"/>
      <c r="I106" s="57"/>
      <c r="J106"/>
      <c r="K106" s="20" t="b">
        <v>0</v>
      </c>
      <c r="M106" s="3"/>
    </row>
    <row r="107" spans="3:13" x14ac:dyDescent="0.3">
      <c r="C107" s="1"/>
      <c r="F107" s="21"/>
      <c r="H107" s="24"/>
      <c r="K107" s="20" t="b">
        <v>0</v>
      </c>
      <c r="M107" s="21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7"/>
  <sheetViews>
    <sheetView tabSelected="1" zoomScale="90" zoomScaleNormal="90" workbookViewId="0">
      <selection activeCell="K62" sqref="K2:K62"/>
    </sheetView>
  </sheetViews>
  <sheetFormatPr defaultRowHeight="14.4" x14ac:dyDescent="0.3"/>
  <cols>
    <col min="1" max="1" width="16.33203125" bestFit="1" customWidth="1"/>
    <col min="2" max="2" width="52.6640625" bestFit="1" customWidth="1"/>
    <col min="3" max="3" width="17.109375" style="1" customWidth="1"/>
    <col min="4" max="4" width="18" style="21" bestFit="1" customWidth="1"/>
    <col min="5" max="5" width="11.5546875" bestFit="1" customWidth="1"/>
    <col min="6" max="6" width="19.33203125" style="21" bestFit="1" customWidth="1"/>
    <col min="7" max="7" width="16" bestFit="1" customWidth="1"/>
    <col min="8" max="8" width="17.33203125" style="6" bestFit="1" customWidth="1"/>
    <col min="9" max="9" width="17.6640625" style="2" bestFit="1" customWidth="1"/>
    <col min="10" max="10" width="12.44140625" style="19" bestFit="1" customWidth="1"/>
    <col min="11" max="11" width="20.33203125" bestFit="1" customWidth="1"/>
    <col min="12" max="12" width="47.33203125" customWidth="1"/>
    <col min="13" max="13" width="27.6640625" style="26" bestFit="1" customWidth="1"/>
  </cols>
  <sheetData>
    <row r="1" spans="1:13" x14ac:dyDescent="0.3">
      <c r="A1" s="35" t="s">
        <v>0</v>
      </c>
      <c r="B1" s="36" t="s">
        <v>13</v>
      </c>
      <c r="C1" s="55" t="s">
        <v>2</v>
      </c>
      <c r="D1" s="37" t="s">
        <v>14</v>
      </c>
      <c r="E1" s="36" t="s">
        <v>4</v>
      </c>
      <c r="F1" s="37" t="s">
        <v>5</v>
      </c>
      <c r="G1" s="36" t="s">
        <v>6</v>
      </c>
      <c r="H1" s="38" t="s">
        <v>7</v>
      </c>
      <c r="I1" s="39" t="s">
        <v>8</v>
      </c>
      <c r="J1" s="40" t="s">
        <v>9</v>
      </c>
      <c r="K1" s="36" t="s">
        <v>15</v>
      </c>
      <c r="L1" s="36" t="s">
        <v>11</v>
      </c>
      <c r="M1" s="41" t="s">
        <v>12</v>
      </c>
    </row>
    <row r="2" spans="1:13" x14ac:dyDescent="0.3">
      <c r="A2" s="35"/>
      <c r="B2" s="63"/>
      <c r="C2" s="86"/>
      <c r="D2" s="87"/>
      <c r="E2" s="88"/>
      <c r="F2" s="58"/>
      <c r="G2" s="35"/>
      <c r="H2" s="59"/>
      <c r="I2" s="60"/>
      <c r="J2" s="61"/>
      <c r="K2" s="20" t="b">
        <v>0</v>
      </c>
      <c r="L2" s="63"/>
    </row>
    <row r="3" spans="1:13" x14ac:dyDescent="0.3">
      <c r="A3" s="35"/>
      <c r="B3" s="63"/>
      <c r="C3" s="86"/>
      <c r="D3" s="87"/>
      <c r="E3" s="88"/>
      <c r="F3" s="58"/>
      <c r="G3" s="35"/>
      <c r="H3" s="59"/>
      <c r="I3" s="60"/>
      <c r="J3" s="61"/>
      <c r="K3" s="20" t="b">
        <v>0</v>
      </c>
      <c r="L3" s="63"/>
    </row>
    <row r="4" spans="1:13" x14ac:dyDescent="0.3">
      <c r="A4" s="35"/>
      <c r="B4" s="63"/>
      <c r="C4" s="86"/>
      <c r="D4" s="87"/>
      <c r="E4" s="88"/>
      <c r="F4" s="58"/>
      <c r="G4" s="35"/>
      <c r="H4" s="59"/>
      <c r="I4" s="60"/>
      <c r="J4" s="61"/>
      <c r="K4" s="20" t="b">
        <v>0</v>
      </c>
      <c r="L4" s="63"/>
    </row>
    <row r="5" spans="1:13" x14ac:dyDescent="0.3">
      <c r="A5" s="35"/>
      <c r="B5" s="63"/>
      <c r="C5" s="86"/>
      <c r="D5" s="87"/>
      <c r="E5" s="88"/>
      <c r="F5" s="58"/>
      <c r="G5" s="35"/>
      <c r="H5" s="59"/>
      <c r="I5" s="60"/>
      <c r="J5" s="61"/>
      <c r="K5" s="20" t="b">
        <v>0</v>
      </c>
      <c r="L5" s="63"/>
    </row>
    <row r="6" spans="1:13" x14ac:dyDescent="0.3">
      <c r="A6" s="35"/>
      <c r="B6" s="63"/>
      <c r="C6" s="86"/>
      <c r="D6" s="87"/>
      <c r="E6" s="88"/>
      <c r="F6" s="58"/>
      <c r="G6" s="35"/>
      <c r="H6" s="59"/>
      <c r="I6" s="60"/>
      <c r="J6" s="61"/>
      <c r="K6" s="20" t="b">
        <v>0</v>
      </c>
      <c r="L6" s="63"/>
    </row>
    <row r="7" spans="1:13" x14ac:dyDescent="0.3">
      <c r="A7" s="35"/>
      <c r="B7" s="63"/>
      <c r="C7" s="86"/>
      <c r="D7" s="87"/>
      <c r="E7" s="88"/>
      <c r="F7" s="58"/>
      <c r="G7" s="35"/>
      <c r="H7" s="59"/>
      <c r="I7" s="60"/>
      <c r="J7" s="61"/>
      <c r="K7" s="20" t="b">
        <v>0</v>
      </c>
      <c r="L7" s="63"/>
    </row>
    <row r="8" spans="1:13" x14ac:dyDescent="0.3">
      <c r="A8" s="35"/>
      <c r="B8" s="63"/>
      <c r="C8" s="86"/>
      <c r="D8" s="87"/>
      <c r="E8" s="88"/>
      <c r="F8" s="58"/>
      <c r="G8" s="35"/>
      <c r="H8" s="59"/>
      <c r="I8" s="60"/>
      <c r="J8" s="61"/>
      <c r="K8" s="20" t="b">
        <v>0</v>
      </c>
      <c r="L8" s="63"/>
    </row>
    <row r="9" spans="1:13" x14ac:dyDescent="0.3">
      <c r="A9" s="35"/>
      <c r="B9" s="63"/>
      <c r="C9" s="86"/>
      <c r="D9" s="87"/>
      <c r="E9" s="88"/>
      <c r="F9" s="58"/>
      <c r="G9" s="35"/>
      <c r="H9" s="59"/>
      <c r="I9" s="60"/>
      <c r="J9" s="61"/>
      <c r="K9" s="20" t="b">
        <v>0</v>
      </c>
      <c r="L9" s="63"/>
    </row>
    <row r="10" spans="1:13" x14ac:dyDescent="0.3">
      <c r="A10" s="35"/>
      <c r="B10" s="63"/>
      <c r="C10" s="86"/>
      <c r="D10" s="87"/>
      <c r="E10" s="88"/>
      <c r="F10" s="58"/>
      <c r="G10" s="35"/>
      <c r="H10" s="59"/>
      <c r="I10" s="60"/>
      <c r="J10" s="61"/>
      <c r="K10" s="20" t="b">
        <v>0</v>
      </c>
      <c r="L10" s="63"/>
    </row>
    <row r="11" spans="1:13" x14ac:dyDescent="0.3">
      <c r="A11" s="35"/>
      <c r="B11" s="63"/>
      <c r="C11" s="86"/>
      <c r="D11" s="87"/>
      <c r="E11" s="88"/>
      <c r="F11" s="58"/>
      <c r="G11" s="35"/>
      <c r="H11" s="59"/>
      <c r="I11" s="60"/>
      <c r="J11" s="61"/>
      <c r="K11" s="20" t="b">
        <v>0</v>
      </c>
      <c r="L11" s="63"/>
    </row>
    <row r="12" spans="1:13" x14ac:dyDescent="0.3">
      <c r="A12" s="35"/>
      <c r="B12" s="63"/>
      <c r="C12" s="86"/>
      <c r="D12" s="87"/>
      <c r="E12" s="88"/>
      <c r="F12" s="58"/>
      <c r="G12" s="35"/>
      <c r="H12" s="59"/>
      <c r="I12" s="60"/>
      <c r="J12" s="61"/>
      <c r="K12" s="20" t="b">
        <v>0</v>
      </c>
      <c r="L12" s="63"/>
    </row>
    <row r="13" spans="1:13" x14ac:dyDescent="0.3">
      <c r="A13" s="35"/>
      <c r="B13" s="63"/>
      <c r="C13" s="86"/>
      <c r="D13" s="87"/>
      <c r="E13" s="88"/>
      <c r="F13" s="58"/>
      <c r="G13" s="35"/>
      <c r="H13" s="59"/>
      <c r="I13" s="60"/>
      <c r="J13" s="61"/>
      <c r="K13" s="20" t="b">
        <v>0</v>
      </c>
      <c r="L13" s="63"/>
    </row>
    <row r="14" spans="1:13" x14ac:dyDescent="0.3">
      <c r="A14" s="35"/>
      <c r="B14" s="63"/>
      <c r="C14" s="86"/>
      <c r="D14" s="87"/>
      <c r="E14" s="88"/>
      <c r="F14" s="58"/>
      <c r="G14" s="35"/>
      <c r="H14" s="59"/>
      <c r="I14" s="60"/>
      <c r="J14" s="61"/>
      <c r="K14" s="20" t="b">
        <v>0</v>
      </c>
      <c r="L14" s="63"/>
    </row>
    <row r="15" spans="1:13" x14ac:dyDescent="0.3">
      <c r="A15" s="35"/>
      <c r="B15" s="63"/>
      <c r="C15" s="86"/>
      <c r="D15" s="87"/>
      <c r="E15" s="88"/>
      <c r="F15" s="58"/>
      <c r="G15" s="35"/>
      <c r="H15" s="59"/>
      <c r="I15" s="60"/>
      <c r="J15" s="61"/>
      <c r="K15" s="20" t="b">
        <v>0</v>
      </c>
      <c r="L15" s="63"/>
    </row>
    <row r="16" spans="1:13" x14ac:dyDescent="0.3">
      <c r="A16" s="35"/>
      <c r="B16" s="63"/>
      <c r="C16" s="86"/>
      <c r="D16" s="87"/>
      <c r="E16" s="88"/>
      <c r="F16" s="58"/>
      <c r="G16" s="35"/>
      <c r="H16" s="59"/>
      <c r="I16" s="60"/>
      <c r="J16" s="61"/>
      <c r="K16" s="20" t="b">
        <v>0</v>
      </c>
      <c r="L16" s="63"/>
    </row>
    <row r="17" spans="1:12" x14ac:dyDescent="0.3">
      <c r="A17" s="35"/>
      <c r="B17" s="63"/>
      <c r="C17" s="86"/>
      <c r="D17" s="87"/>
      <c r="E17" s="88"/>
      <c r="F17" s="58"/>
      <c r="G17" s="35"/>
      <c r="H17" s="59"/>
      <c r="I17" s="60"/>
      <c r="J17" s="61"/>
      <c r="K17" s="20" t="b">
        <v>0</v>
      </c>
      <c r="L17" s="63"/>
    </row>
    <row r="18" spans="1:12" x14ac:dyDescent="0.3">
      <c r="A18" s="35"/>
      <c r="B18" s="63"/>
      <c r="C18" s="86"/>
      <c r="D18" s="87"/>
      <c r="E18" s="88"/>
      <c r="F18" s="58"/>
      <c r="G18" s="35"/>
      <c r="H18" s="59"/>
      <c r="I18" s="60"/>
      <c r="J18" s="61"/>
      <c r="K18" s="20" t="b">
        <v>0</v>
      </c>
      <c r="L18" s="63"/>
    </row>
    <row r="19" spans="1:12" x14ac:dyDescent="0.3">
      <c r="A19" s="35"/>
      <c r="B19" s="63"/>
      <c r="C19" s="86"/>
      <c r="D19" s="87"/>
      <c r="E19" s="88"/>
      <c r="F19" s="58"/>
      <c r="G19" s="35"/>
      <c r="H19" s="59"/>
      <c r="I19" s="60"/>
      <c r="J19" s="61"/>
      <c r="K19" s="20" t="b">
        <v>0</v>
      </c>
      <c r="L19" s="63"/>
    </row>
    <row r="20" spans="1:12" x14ac:dyDescent="0.3">
      <c r="A20" s="35"/>
      <c r="B20" s="63"/>
      <c r="C20" s="86"/>
      <c r="D20" s="87"/>
      <c r="E20" s="88"/>
      <c r="F20" s="58"/>
      <c r="G20" s="35"/>
      <c r="H20" s="59"/>
      <c r="I20" s="60"/>
      <c r="J20" s="61"/>
      <c r="K20" s="20" t="b">
        <v>0</v>
      </c>
      <c r="L20" s="63"/>
    </row>
    <row r="21" spans="1:12" x14ac:dyDescent="0.3">
      <c r="A21" s="35"/>
      <c r="B21" s="63"/>
      <c r="C21" s="86"/>
      <c r="D21" s="87"/>
      <c r="E21" s="88"/>
      <c r="F21" s="58"/>
      <c r="G21" s="35"/>
      <c r="H21" s="59"/>
      <c r="I21" s="60"/>
      <c r="J21" s="61"/>
      <c r="K21" s="20" t="b">
        <v>0</v>
      </c>
      <c r="L21" s="63"/>
    </row>
    <row r="22" spans="1:12" x14ac:dyDescent="0.3">
      <c r="A22" s="35"/>
      <c r="B22" s="63"/>
      <c r="C22" s="86"/>
      <c r="D22" s="87"/>
      <c r="E22" s="88"/>
      <c r="F22" s="58"/>
      <c r="G22" s="35"/>
      <c r="H22" s="59"/>
      <c r="I22" s="60"/>
      <c r="J22" s="61"/>
      <c r="K22" s="20" t="b">
        <v>0</v>
      </c>
      <c r="L22" s="63"/>
    </row>
    <row r="23" spans="1:12" x14ac:dyDescent="0.3">
      <c r="A23" s="35"/>
      <c r="B23" s="63"/>
      <c r="C23" s="86"/>
      <c r="D23" s="87"/>
      <c r="E23" s="88"/>
      <c r="F23" s="58"/>
      <c r="G23" s="35"/>
      <c r="H23" s="59"/>
      <c r="I23" s="60"/>
      <c r="J23" s="61"/>
      <c r="K23" s="20" t="b">
        <v>0</v>
      </c>
      <c r="L23" s="63"/>
    </row>
    <row r="24" spans="1:12" x14ac:dyDescent="0.3">
      <c r="A24" s="35"/>
      <c r="B24" s="63"/>
      <c r="C24" s="86"/>
      <c r="D24" s="87"/>
      <c r="E24" s="88"/>
      <c r="F24" s="58"/>
      <c r="G24" s="35"/>
      <c r="H24" s="59"/>
      <c r="I24" s="60"/>
      <c r="J24" s="61"/>
      <c r="K24" s="20" t="b">
        <v>0</v>
      </c>
      <c r="L24" s="63"/>
    </row>
    <row r="25" spans="1:12" x14ac:dyDescent="0.3">
      <c r="A25" s="35"/>
      <c r="B25" s="63"/>
      <c r="C25" s="86"/>
      <c r="D25" s="87"/>
      <c r="E25" s="88"/>
      <c r="F25" s="58"/>
      <c r="G25" s="35"/>
      <c r="H25" s="59"/>
      <c r="I25" s="60"/>
      <c r="J25" s="61"/>
      <c r="K25" s="20" t="b">
        <v>0</v>
      </c>
      <c r="L25" s="63"/>
    </row>
    <row r="26" spans="1:12" x14ac:dyDescent="0.3">
      <c r="A26" s="35"/>
      <c r="B26" s="63"/>
      <c r="C26" s="86"/>
      <c r="D26" s="87"/>
      <c r="E26" s="88"/>
      <c r="F26" s="58"/>
      <c r="G26" s="35"/>
      <c r="H26" s="59"/>
      <c r="I26" s="60"/>
      <c r="J26" s="61"/>
      <c r="K26" s="20" t="b">
        <v>0</v>
      </c>
      <c r="L26" s="63"/>
    </row>
    <row r="27" spans="1:12" x14ac:dyDescent="0.3">
      <c r="A27" s="35"/>
      <c r="B27" s="63"/>
      <c r="C27" s="86"/>
      <c r="D27" s="87"/>
      <c r="E27" s="88"/>
      <c r="F27" s="58"/>
      <c r="G27" s="35"/>
      <c r="H27" s="59"/>
      <c r="I27" s="60"/>
      <c r="J27" s="61"/>
      <c r="K27" s="20" t="b">
        <v>0</v>
      </c>
      <c r="L27" s="63"/>
    </row>
    <row r="28" spans="1:12" x14ac:dyDescent="0.3">
      <c r="A28" s="35"/>
      <c r="B28" s="63"/>
      <c r="C28" s="86"/>
      <c r="D28" s="87"/>
      <c r="E28" s="88"/>
      <c r="F28" s="58"/>
      <c r="G28" s="35"/>
      <c r="H28" s="59"/>
      <c r="I28" s="60"/>
      <c r="J28" s="61"/>
      <c r="K28" s="20" t="b">
        <v>0</v>
      </c>
      <c r="L28" s="63"/>
    </row>
    <row r="29" spans="1:12" x14ac:dyDescent="0.3">
      <c r="A29" s="35"/>
      <c r="B29" s="63"/>
      <c r="C29" s="86"/>
      <c r="D29" s="87"/>
      <c r="E29" s="88"/>
      <c r="F29" s="58"/>
      <c r="G29" s="35"/>
      <c r="H29" s="59"/>
      <c r="I29" s="60"/>
      <c r="J29" s="61"/>
      <c r="K29" s="20" t="b">
        <v>0</v>
      </c>
      <c r="L29" s="63"/>
    </row>
    <row r="30" spans="1:12" x14ac:dyDescent="0.3">
      <c r="A30" s="35"/>
      <c r="B30" s="63"/>
      <c r="C30" s="86"/>
      <c r="D30" s="87"/>
      <c r="E30" s="88"/>
      <c r="F30" s="58"/>
      <c r="G30" s="35"/>
      <c r="H30" s="59"/>
      <c r="I30" s="60"/>
      <c r="J30" s="61"/>
      <c r="K30" s="20" t="b">
        <v>0</v>
      </c>
      <c r="L30" s="63"/>
    </row>
    <row r="31" spans="1:12" x14ac:dyDescent="0.3">
      <c r="A31" s="35"/>
      <c r="B31" s="63"/>
      <c r="C31" s="86"/>
      <c r="D31" s="87"/>
      <c r="E31" s="88"/>
      <c r="F31" s="58"/>
      <c r="G31" s="35"/>
      <c r="H31" s="59"/>
      <c r="I31" s="60"/>
      <c r="J31" s="61"/>
      <c r="K31" s="20" t="b">
        <v>0</v>
      </c>
      <c r="L31" s="63"/>
    </row>
    <row r="32" spans="1:12" x14ac:dyDescent="0.3">
      <c r="A32" s="35"/>
      <c r="B32" s="63"/>
      <c r="C32" s="86"/>
      <c r="D32" s="87"/>
      <c r="E32" s="88"/>
      <c r="F32" s="58"/>
      <c r="G32" s="35"/>
      <c r="H32" s="59"/>
      <c r="I32" s="60"/>
      <c r="J32" s="61"/>
      <c r="K32" s="20" t="b">
        <v>0</v>
      </c>
      <c r="L32" s="63"/>
    </row>
    <row r="33" spans="1:12" x14ac:dyDescent="0.3">
      <c r="A33" s="35"/>
      <c r="B33" s="63"/>
      <c r="C33" s="86"/>
      <c r="D33" s="87"/>
      <c r="E33" s="88"/>
      <c r="F33" s="58"/>
      <c r="G33" s="35"/>
      <c r="H33" s="59"/>
      <c r="I33" s="60"/>
      <c r="J33" s="61"/>
      <c r="K33" s="20" t="b">
        <v>0</v>
      </c>
      <c r="L33" s="63"/>
    </row>
    <row r="34" spans="1:12" x14ac:dyDescent="0.3">
      <c r="A34" s="35"/>
      <c r="B34" s="63"/>
      <c r="C34" s="86"/>
      <c r="D34" s="87"/>
      <c r="E34" s="88"/>
      <c r="F34" s="58"/>
      <c r="G34" s="35"/>
      <c r="H34" s="59"/>
      <c r="I34" s="60"/>
      <c r="J34" s="61"/>
      <c r="K34" s="20" t="b">
        <v>0</v>
      </c>
      <c r="L34" s="63"/>
    </row>
    <row r="35" spans="1:12" x14ac:dyDescent="0.3">
      <c r="A35" s="35"/>
      <c r="B35" s="63"/>
      <c r="C35" s="86"/>
      <c r="D35" s="87"/>
      <c r="E35" s="88"/>
      <c r="F35" s="58"/>
      <c r="G35" s="35"/>
      <c r="H35" s="59"/>
      <c r="I35" s="60"/>
      <c r="J35" s="61"/>
      <c r="K35" s="20" t="b">
        <v>0</v>
      </c>
      <c r="L35" s="63"/>
    </row>
    <row r="36" spans="1:12" x14ac:dyDescent="0.3">
      <c r="A36" s="35"/>
      <c r="B36" s="63"/>
      <c r="C36" s="86"/>
      <c r="D36" s="87"/>
      <c r="E36" s="88"/>
      <c r="F36" s="58"/>
      <c r="G36" s="35"/>
      <c r="H36" s="59"/>
      <c r="I36" s="60"/>
      <c r="J36" s="61"/>
      <c r="K36" s="20" t="b">
        <v>0</v>
      </c>
      <c r="L36" s="63"/>
    </row>
    <row r="37" spans="1:12" x14ac:dyDescent="0.3">
      <c r="A37" s="35"/>
      <c r="B37" s="63"/>
      <c r="C37" s="86"/>
      <c r="D37" s="87"/>
      <c r="E37" s="88"/>
      <c r="F37" s="58"/>
      <c r="G37" s="35"/>
      <c r="H37" s="59"/>
      <c r="I37" s="60"/>
      <c r="J37" s="61"/>
      <c r="K37" s="20" t="b">
        <v>0</v>
      </c>
      <c r="L37" s="63"/>
    </row>
    <row r="38" spans="1:12" x14ac:dyDescent="0.3">
      <c r="A38" s="35"/>
      <c r="B38" s="63"/>
      <c r="C38" s="86"/>
      <c r="D38" s="87"/>
      <c r="E38" s="88"/>
      <c r="F38" s="58"/>
      <c r="G38" s="35"/>
      <c r="H38" s="59"/>
      <c r="I38" s="60"/>
      <c r="J38" s="61"/>
      <c r="K38" s="20" t="b">
        <v>0</v>
      </c>
      <c r="L38" s="63"/>
    </row>
    <row r="39" spans="1:12" x14ac:dyDescent="0.3">
      <c r="A39" s="35"/>
      <c r="B39" s="63"/>
      <c r="C39" s="86"/>
      <c r="D39" s="87"/>
      <c r="E39" s="88"/>
      <c r="F39" s="58"/>
      <c r="G39" s="35"/>
      <c r="H39" s="59"/>
      <c r="I39" s="60"/>
      <c r="J39" s="61"/>
      <c r="K39" s="20" t="b">
        <v>0</v>
      </c>
      <c r="L39" s="63"/>
    </row>
    <row r="40" spans="1:12" x14ac:dyDescent="0.3">
      <c r="A40" s="35"/>
      <c r="B40" s="63"/>
      <c r="C40" s="86"/>
      <c r="D40" s="87"/>
      <c r="E40" s="88"/>
      <c r="F40" s="58"/>
      <c r="G40" s="35"/>
      <c r="H40" s="59"/>
      <c r="I40" s="60"/>
      <c r="J40" s="61"/>
      <c r="K40" s="20" t="b">
        <v>0</v>
      </c>
      <c r="L40" s="63"/>
    </row>
    <row r="41" spans="1:12" x14ac:dyDescent="0.3">
      <c r="A41" s="35"/>
      <c r="B41" s="63"/>
      <c r="C41" s="86"/>
      <c r="D41" s="87"/>
      <c r="E41" s="88"/>
      <c r="F41" s="58"/>
      <c r="G41" s="35"/>
      <c r="H41" s="59"/>
      <c r="I41" s="60"/>
      <c r="J41" s="61"/>
      <c r="K41" s="20" t="b">
        <v>0</v>
      </c>
      <c r="L41" s="63"/>
    </row>
    <row r="42" spans="1:12" x14ac:dyDescent="0.3">
      <c r="A42" s="35"/>
      <c r="B42" s="63"/>
      <c r="C42" s="86"/>
      <c r="D42" s="87"/>
      <c r="E42" s="88"/>
      <c r="F42" s="58"/>
      <c r="G42" s="35"/>
      <c r="H42" s="59"/>
      <c r="I42" s="60"/>
      <c r="J42" s="61"/>
      <c r="K42" s="20" t="b">
        <v>0</v>
      </c>
      <c r="L42" s="63"/>
    </row>
    <row r="43" spans="1:12" x14ac:dyDescent="0.3">
      <c r="A43" s="35"/>
      <c r="B43" s="63"/>
      <c r="C43" s="86"/>
      <c r="D43" s="87"/>
      <c r="E43" s="88"/>
      <c r="F43" s="58"/>
      <c r="G43" s="35"/>
      <c r="H43" s="59"/>
      <c r="I43" s="60"/>
      <c r="J43" s="61"/>
      <c r="K43" s="20" t="b">
        <v>0</v>
      </c>
      <c r="L43" s="63"/>
    </row>
    <row r="44" spans="1:12" x14ac:dyDescent="0.3">
      <c r="A44" s="35"/>
      <c r="B44" s="63"/>
      <c r="C44" s="86"/>
      <c r="D44" s="87"/>
      <c r="E44" s="88"/>
      <c r="F44" s="58"/>
      <c r="G44" s="35"/>
      <c r="H44" s="59"/>
      <c r="I44" s="60"/>
      <c r="J44" s="61"/>
      <c r="K44" s="20" t="b">
        <v>0</v>
      </c>
      <c r="L44" s="63"/>
    </row>
    <row r="45" spans="1:12" x14ac:dyDescent="0.3">
      <c r="A45" s="35"/>
      <c r="B45" s="63"/>
      <c r="C45" s="86"/>
      <c r="D45" s="87"/>
      <c r="E45" s="88"/>
      <c r="F45" s="58"/>
      <c r="G45" s="35"/>
      <c r="H45" s="59"/>
      <c r="I45" s="60"/>
      <c r="J45" s="61"/>
      <c r="K45" s="20" t="b">
        <v>0</v>
      </c>
      <c r="L45" s="63"/>
    </row>
    <row r="46" spans="1:12" x14ac:dyDescent="0.3">
      <c r="A46" s="35"/>
      <c r="B46" s="63"/>
      <c r="C46" s="86"/>
      <c r="D46" s="87"/>
      <c r="E46" s="88"/>
      <c r="F46" s="58"/>
      <c r="G46" s="35"/>
      <c r="H46" s="59"/>
      <c r="I46" s="60"/>
      <c r="J46" s="61"/>
      <c r="K46" s="20" t="b">
        <v>0</v>
      </c>
      <c r="L46" s="63"/>
    </row>
    <row r="47" spans="1:12" x14ac:dyDescent="0.3">
      <c r="A47" s="35"/>
      <c r="B47" s="63"/>
      <c r="C47" s="86"/>
      <c r="D47" s="87"/>
      <c r="E47" s="88"/>
      <c r="F47" s="58"/>
      <c r="G47" s="35"/>
      <c r="H47" s="59"/>
      <c r="I47" s="60"/>
      <c r="J47" s="61"/>
      <c r="K47" s="20" t="b">
        <v>0</v>
      </c>
      <c r="L47" s="63"/>
    </row>
    <row r="48" spans="1:12" x14ac:dyDescent="0.3">
      <c r="A48" s="35"/>
      <c r="B48" s="63"/>
      <c r="C48" s="86"/>
      <c r="D48" s="87"/>
      <c r="E48" s="88"/>
      <c r="F48" s="58"/>
      <c r="G48" s="35"/>
      <c r="H48" s="59"/>
      <c r="I48" s="60"/>
      <c r="J48" s="61"/>
      <c r="K48" s="20" t="b">
        <v>0</v>
      </c>
      <c r="L48" s="63"/>
    </row>
    <row r="49" spans="1:13" x14ac:dyDescent="0.3">
      <c r="A49" s="35"/>
      <c r="B49" s="63"/>
      <c r="C49" s="86"/>
      <c r="D49" s="87"/>
      <c r="E49" s="88"/>
      <c r="F49" s="58"/>
      <c r="G49" s="35"/>
      <c r="H49" s="59"/>
      <c r="I49" s="60"/>
      <c r="J49" s="61"/>
      <c r="K49" s="20" t="b">
        <v>0</v>
      </c>
      <c r="L49" s="63"/>
    </row>
    <row r="50" spans="1:13" x14ac:dyDescent="0.3">
      <c r="A50" s="35"/>
      <c r="B50" s="63"/>
      <c r="C50" s="86"/>
      <c r="D50" s="87"/>
      <c r="E50" s="88"/>
      <c r="F50" s="58"/>
      <c r="G50" s="35"/>
      <c r="H50" s="59"/>
      <c r="I50" s="60"/>
      <c r="J50" s="61"/>
      <c r="K50" s="20" t="b">
        <v>0</v>
      </c>
      <c r="L50" s="63"/>
    </row>
    <row r="51" spans="1:13" x14ac:dyDescent="0.3">
      <c r="A51" s="35"/>
      <c r="B51" s="63"/>
      <c r="C51" s="86"/>
      <c r="D51" s="87"/>
      <c r="E51" s="88"/>
      <c r="F51" s="58"/>
      <c r="G51" s="35"/>
      <c r="H51" s="59"/>
      <c r="I51" s="60"/>
      <c r="J51" s="61"/>
      <c r="K51" s="20" t="b">
        <v>0</v>
      </c>
      <c r="L51" s="63"/>
    </row>
    <row r="52" spans="1:13" x14ac:dyDescent="0.3">
      <c r="A52" s="35"/>
      <c r="B52" s="63"/>
      <c r="C52" s="86"/>
      <c r="D52" s="87"/>
      <c r="E52" s="88"/>
      <c r="F52" s="58"/>
      <c r="G52" s="35"/>
      <c r="H52" s="59"/>
      <c r="I52" s="60"/>
      <c r="J52" s="61"/>
      <c r="K52" s="20" t="b">
        <v>0</v>
      </c>
      <c r="L52" s="63"/>
    </row>
    <row r="53" spans="1:13" x14ac:dyDescent="0.3">
      <c r="A53" s="35"/>
      <c r="B53" s="63"/>
      <c r="C53" s="86"/>
      <c r="D53" s="87"/>
      <c r="E53" s="88"/>
      <c r="F53" s="58"/>
      <c r="G53" s="35"/>
      <c r="H53" s="59"/>
      <c r="I53" s="60"/>
      <c r="J53" s="61"/>
      <c r="K53" s="20" t="b">
        <v>0</v>
      </c>
      <c r="L53" s="63"/>
    </row>
    <row r="54" spans="1:13" x14ac:dyDescent="0.3">
      <c r="A54" s="35"/>
      <c r="B54" s="63"/>
      <c r="C54" s="86"/>
      <c r="D54" s="87"/>
      <c r="E54" s="88"/>
      <c r="F54" s="58"/>
      <c r="G54" s="35"/>
      <c r="H54" s="59"/>
      <c r="I54" s="60"/>
      <c r="J54" s="61"/>
      <c r="K54" s="20" t="b">
        <v>0</v>
      </c>
      <c r="L54" s="63"/>
    </row>
    <row r="55" spans="1:13" x14ac:dyDescent="0.3">
      <c r="A55" s="35"/>
      <c r="B55" s="63"/>
      <c r="C55" s="86"/>
      <c r="D55" s="87"/>
      <c r="E55" s="88"/>
      <c r="F55" s="58"/>
      <c r="G55" s="35"/>
      <c r="H55" s="59"/>
      <c r="I55" s="60"/>
      <c r="J55" s="61"/>
      <c r="K55" s="20" t="b">
        <v>0</v>
      </c>
      <c r="L55" s="63"/>
    </row>
    <row r="56" spans="1:13" x14ac:dyDescent="0.3">
      <c r="A56" s="35"/>
      <c r="B56" s="63"/>
      <c r="C56" s="86"/>
      <c r="D56" s="87"/>
      <c r="E56" s="88"/>
      <c r="F56" s="58"/>
      <c r="G56" s="35"/>
      <c r="H56" s="59"/>
      <c r="I56" s="60"/>
      <c r="J56" s="61"/>
      <c r="K56" s="20" t="b">
        <v>0</v>
      </c>
      <c r="L56" s="63"/>
    </row>
    <row r="57" spans="1:13" x14ac:dyDescent="0.3">
      <c r="A57" s="35"/>
      <c r="B57" s="63"/>
      <c r="C57" s="86"/>
      <c r="D57" s="87"/>
      <c r="E57" s="88"/>
      <c r="F57" s="58"/>
      <c r="G57" s="35"/>
      <c r="H57" s="59"/>
      <c r="I57" s="60"/>
      <c r="J57" s="61"/>
      <c r="K57" s="20" t="b">
        <v>0</v>
      </c>
      <c r="L57" s="63"/>
    </row>
    <row r="58" spans="1:13" x14ac:dyDescent="0.3">
      <c r="A58" s="35"/>
      <c r="B58" s="63"/>
      <c r="C58" s="86"/>
      <c r="D58" s="87"/>
      <c r="E58" s="88"/>
      <c r="F58" s="58"/>
      <c r="G58" s="35"/>
      <c r="H58" s="59"/>
      <c r="I58" s="60"/>
      <c r="J58" s="61"/>
      <c r="K58" s="20" t="b">
        <v>0</v>
      </c>
      <c r="L58" s="63"/>
    </row>
    <row r="59" spans="1:13" x14ac:dyDescent="0.3">
      <c r="A59" s="35"/>
      <c r="B59" s="63"/>
      <c r="C59" s="86"/>
      <c r="D59" s="87"/>
      <c r="E59" s="88"/>
      <c r="F59" s="58"/>
      <c r="G59" s="35"/>
      <c r="H59" s="59"/>
      <c r="I59" s="60"/>
      <c r="J59" s="61"/>
      <c r="K59" s="20" t="b">
        <v>0</v>
      </c>
      <c r="L59" s="63"/>
    </row>
    <row r="60" spans="1:13" x14ac:dyDescent="0.3">
      <c r="A60" s="35"/>
      <c r="B60" s="63"/>
      <c r="C60" s="86"/>
      <c r="D60" s="87"/>
      <c r="E60" s="88"/>
      <c r="F60" s="58"/>
      <c r="G60" s="35"/>
      <c r="H60" s="59"/>
      <c r="I60" s="60"/>
      <c r="J60" s="61"/>
      <c r="K60" s="20" t="b">
        <v>0</v>
      </c>
      <c r="L60" s="63"/>
    </row>
    <row r="61" spans="1:13" x14ac:dyDescent="0.3">
      <c r="A61" s="35"/>
      <c r="B61" s="63"/>
      <c r="C61" s="86"/>
      <c r="D61" s="87"/>
      <c r="E61" s="88"/>
      <c r="F61" s="58"/>
      <c r="G61" s="35"/>
      <c r="H61" s="59"/>
      <c r="I61" s="60"/>
      <c r="J61" s="61"/>
      <c r="K61" s="20" t="b">
        <v>0</v>
      </c>
      <c r="L61" s="63"/>
    </row>
    <row r="62" spans="1:13" x14ac:dyDescent="0.3">
      <c r="C62"/>
      <c r="D62" s="3"/>
      <c r="F62"/>
      <c r="H62"/>
      <c r="I62"/>
      <c r="J62"/>
      <c r="K62" s="20" t="b">
        <v>0</v>
      </c>
      <c r="M62"/>
    </row>
    <row r="63" spans="1:13" x14ac:dyDescent="0.3">
      <c r="C63"/>
      <c r="D63" s="3"/>
      <c r="F63" s="67"/>
      <c r="G63" s="64"/>
      <c r="H63"/>
      <c r="I63"/>
      <c r="J63"/>
      <c r="K63" s="20" t="b">
        <v>0</v>
      </c>
      <c r="M63"/>
    </row>
    <row r="64" spans="1:13" x14ac:dyDescent="0.3">
      <c r="C64"/>
      <c r="D64" s="3"/>
      <c r="F64"/>
      <c r="H64"/>
      <c r="I64"/>
      <c r="J64"/>
      <c r="K64" s="20" t="b">
        <v>0</v>
      </c>
      <c r="M64"/>
    </row>
    <row r="65" spans="1:12" x14ac:dyDescent="0.3">
      <c r="C65"/>
      <c r="D65" s="3"/>
      <c r="F65" s="58"/>
      <c r="H65" s="59"/>
      <c r="I65" s="60"/>
      <c r="J65" s="61"/>
      <c r="K65" s="62" t="b">
        <v>0</v>
      </c>
      <c r="L65" s="63"/>
    </row>
    <row r="66" spans="1:12" x14ac:dyDescent="0.3">
      <c r="A66" s="43"/>
    </row>
    <row r="67" spans="1:12" x14ac:dyDescent="0.3">
      <c r="B67" s="16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6A65-558B-4990-B93B-14FC80AB9C93}">
  <dimension ref="A1:H24"/>
  <sheetViews>
    <sheetView workbookViewId="0">
      <selection activeCell="F18" sqref="F18"/>
    </sheetView>
  </sheetViews>
  <sheetFormatPr defaultRowHeight="14.4" x14ac:dyDescent="0.3"/>
  <cols>
    <col min="1" max="1" width="21.44140625" bestFit="1" customWidth="1"/>
    <col min="2" max="2" width="23.33203125" bestFit="1" customWidth="1"/>
    <col min="3" max="3" width="18" bestFit="1" customWidth="1"/>
    <col min="4" max="4" width="19.5546875" bestFit="1" customWidth="1"/>
    <col min="5" max="5" width="16.6640625" bestFit="1" customWidth="1"/>
    <col min="6" max="6" width="23.88671875" bestFit="1" customWidth="1"/>
    <col min="7" max="7" width="30.44140625" bestFit="1" customWidth="1"/>
    <col min="8" max="8" width="18.88671875" bestFit="1" customWidth="1"/>
  </cols>
  <sheetData>
    <row r="1" spans="1:8" x14ac:dyDescent="0.3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9" t="s">
        <v>26</v>
      </c>
      <c r="G1" s="9" t="s">
        <v>27</v>
      </c>
      <c r="H1" s="8" t="s">
        <v>28</v>
      </c>
    </row>
    <row r="2" spans="1:8" x14ac:dyDescent="0.3">
      <c r="A2" t="s">
        <v>19</v>
      </c>
      <c r="B2">
        <f>COUNTA(LuWanna[Quote Number])</f>
        <v>0</v>
      </c>
      <c r="C2">
        <f>COUNTA(_xlfn.UNIQUE(LuWanna[Cust. Name]))</f>
        <v>1</v>
      </c>
      <c r="D2" s="1">
        <f>SUM(LuWanna[Quote Amount])</f>
        <v>0</v>
      </c>
      <c r="E2" s="1" t="e">
        <f>AVERAGE(LuWanna[Quote Amount])</f>
        <v>#DIV/0!</v>
      </c>
      <c r="F2" s="1">
        <f>SUMIF(LuWanna[Won/Lost], "Won", LuWanna[Actual Order $])</f>
        <v>0</v>
      </c>
      <c r="G2" s="1">
        <f>SUMIFS(LuWanna[Actual Order $], LuWanna[Won/Lost],"Won", LuWanna[Won by Follow Up?], TRUE)</f>
        <v>0</v>
      </c>
      <c r="H2" s="10">
        <f>COUNTA(LuWanna[Follow Up Date])</f>
        <v>0</v>
      </c>
    </row>
    <row r="3" spans="1:8" x14ac:dyDescent="0.3">
      <c r="A3" t="s">
        <v>17</v>
      </c>
      <c r="B3">
        <f>COUNTA(Brent[Quote Number])</f>
        <v>0</v>
      </c>
      <c r="C3">
        <f>COUNTA(_xlfn.UNIQUE(Brent[Cust. Name]))</f>
        <v>1</v>
      </c>
      <c r="D3" s="1">
        <f>SUM(Brent[Quote Amount])</f>
        <v>0</v>
      </c>
      <c r="E3" s="1" t="e">
        <f>AVERAGE(Brent[Quote Amount])</f>
        <v>#DIV/0!</v>
      </c>
      <c r="F3" s="1">
        <f>SUMIF(Brent[Won/Lost], "Won", Brent[Actual Order $])</f>
        <v>0</v>
      </c>
      <c r="G3" s="1">
        <f>SUMIFS(Brent[Actual Order $], Brent[Won/Lost],"Won", Brent[Won by Follow Up?], TRUE)</f>
        <v>0</v>
      </c>
      <c r="H3" s="10">
        <f>COUNTA(Brent[Follow Up Date])</f>
        <v>0</v>
      </c>
    </row>
    <row r="4" spans="1:8" x14ac:dyDescent="0.3">
      <c r="A4" t="s">
        <v>20</v>
      </c>
      <c r="B4">
        <f>COUNTA(Reid[Quote Number])</f>
        <v>0</v>
      </c>
      <c r="C4">
        <f>COUNTA(_xlfn.UNIQUE('Reid Kincaid'!B2:B65))</f>
        <v>1</v>
      </c>
      <c r="D4" s="1">
        <f>SUM(Reid[Quote Amount])</f>
        <v>0</v>
      </c>
      <c r="E4" s="1" t="e">
        <f>AVERAGE(Reid[Quote Amount])</f>
        <v>#DIV/0!</v>
      </c>
      <c r="F4" s="1">
        <f>SUMIF(Reid[Won/Lost], "Won", Reid[Actual Order $])</f>
        <v>0</v>
      </c>
      <c r="G4" s="1">
        <f>SUMIFS(Reid[Actual Order $], Reid[Won/Lost],"Won", Reid[Won by Follow Up?], TRUE)</f>
        <v>0</v>
      </c>
      <c r="H4" s="10">
        <f>COUNTA(Reid[Follow Up Date])</f>
        <v>0</v>
      </c>
    </row>
    <row r="5" spans="1:8" x14ac:dyDescent="0.3">
      <c r="A5" t="s">
        <v>18</v>
      </c>
      <c r="B5">
        <f>COUNTA(Eric[Quote Number])</f>
        <v>0</v>
      </c>
      <c r="C5">
        <f>COUNTA(_xlfn.UNIQUE(Eric[Cust. Name]))</f>
        <v>1</v>
      </c>
      <c r="D5" s="1">
        <f>SUM(Eric[Quote Amount])</f>
        <v>0</v>
      </c>
      <c r="E5" s="1" t="e">
        <f>AVERAGE(Eric[Quote Amount])</f>
        <v>#DIV/0!</v>
      </c>
      <c r="F5" s="1">
        <f>SUMIF(Eric[Won/Lost], "Won", Eric[Actual Order $])</f>
        <v>0</v>
      </c>
      <c r="G5" s="1">
        <f>SUMIFS(Eric[Actual Order $], Eric[Won/Lost],"Won", Eric[Won by Follow Up?], TRUE)</f>
        <v>0</v>
      </c>
      <c r="H5" s="10">
        <f>COUNTA(Eric[Follow Up Date])</f>
        <v>0</v>
      </c>
    </row>
    <row r="6" spans="1:8" x14ac:dyDescent="0.3">
      <c r="A6" t="s">
        <v>16</v>
      </c>
      <c r="B6">
        <f>COUNTA(Tami[Quote Number])</f>
        <v>0</v>
      </c>
      <c r="C6">
        <f>COUNTA(_xlfn.UNIQUE(Tami[Cust. Name]))</f>
        <v>1</v>
      </c>
      <c r="D6" s="1">
        <f>SUM(Tami[Quote Amount])</f>
        <v>0</v>
      </c>
      <c r="E6" s="1" t="e">
        <f>AVERAGE(Tami[Quote Amount])</f>
        <v>#DIV/0!</v>
      </c>
      <c r="F6" s="1">
        <f>SUMIF(Tami[Won/Lost], "Won", Tami[Actual Order $])</f>
        <v>0</v>
      </c>
      <c r="G6" s="1">
        <f>SUMIFS(Tami[Actual Order $], Tami[Won/Lost],"Won", Tami[Won by Follow Up?], TRUE)</f>
        <v>0</v>
      </c>
      <c r="H6" s="10">
        <f>COUNTA(Tami[Follow Up Date])</f>
        <v>0</v>
      </c>
    </row>
    <row r="7" spans="1:8" x14ac:dyDescent="0.3">
      <c r="A7" s="11" t="s">
        <v>29</v>
      </c>
      <c r="B7" s="11">
        <f>SUBTOTAL(109,B2:B6)</f>
        <v>0</v>
      </c>
      <c r="C7" s="11">
        <f>SUBTOTAL(109,C2:C6)</f>
        <v>5</v>
      </c>
      <c r="D7" s="12">
        <f>SUBTOTAL(109,D2:D6)</f>
        <v>0</v>
      </c>
      <c r="E7" s="12" t="e">
        <f>AVERAGE(E2:E6)</f>
        <v>#DIV/0!</v>
      </c>
      <c r="F7" s="12">
        <f>SUM(F2:F6)</f>
        <v>0</v>
      </c>
      <c r="G7" s="12">
        <f>SUM(G2:G6)</f>
        <v>0</v>
      </c>
      <c r="H7" s="13">
        <f>SUM(H2:H6)</f>
        <v>0</v>
      </c>
    </row>
    <row r="8" spans="1:8" x14ac:dyDescent="0.3">
      <c r="D8" s="1"/>
      <c r="E8" s="1"/>
      <c r="F8" s="1"/>
      <c r="G8" s="1"/>
    </row>
    <row r="9" spans="1:8" x14ac:dyDescent="0.3">
      <c r="F9" s="1"/>
      <c r="G9" s="1"/>
    </row>
    <row r="10" spans="1:8" x14ac:dyDescent="0.3">
      <c r="B10" s="11" t="s">
        <v>30</v>
      </c>
      <c r="C10">
        <f>COUNTIF('Master Allocation'!J2:J77, "Won")</f>
        <v>0</v>
      </c>
      <c r="F10" s="1"/>
      <c r="G10" s="1"/>
    </row>
    <row r="11" spans="1:8" x14ac:dyDescent="0.3">
      <c r="B11" s="11" t="s">
        <v>31</v>
      </c>
      <c r="C11" s="14" t="e">
        <f>_xlfn.PERCENTOF(C10,B7)</f>
        <v>#DIV/0!</v>
      </c>
      <c r="F11" s="1"/>
      <c r="G11" s="1"/>
    </row>
    <row r="12" spans="1:8" x14ac:dyDescent="0.3">
      <c r="B12" s="11" t="s">
        <v>32</v>
      </c>
      <c r="C12" s="15">
        <f>F7</f>
        <v>0</v>
      </c>
      <c r="F12" s="1"/>
      <c r="G12" s="1"/>
    </row>
    <row r="13" spans="1:8" x14ac:dyDescent="0.3">
      <c r="B13" s="11" t="s">
        <v>33</v>
      </c>
      <c r="C13">
        <f>COUNTIFS('Master Allocation'!J:J, "Won", 'Master Allocation'!K:K, "TRUE")</f>
        <v>0</v>
      </c>
      <c r="F13" s="1"/>
      <c r="G13" s="1"/>
    </row>
    <row r="14" spans="1:8" x14ac:dyDescent="0.3">
      <c r="B14" s="11" t="s">
        <v>34</v>
      </c>
      <c r="C14" s="34" t="e">
        <f>_xlfn.PERCENTOF(C13,B7)</f>
        <v>#DIV/0!</v>
      </c>
      <c r="D14" s="89" t="s">
        <v>36</v>
      </c>
      <c r="F14" s="1"/>
      <c r="G14" s="1"/>
    </row>
    <row r="15" spans="1:8" x14ac:dyDescent="0.3">
      <c r="B15" s="11" t="s">
        <v>35</v>
      </c>
      <c r="C15" s="15">
        <f>G7</f>
        <v>0</v>
      </c>
      <c r="D15" s="34" t="e">
        <f>_xlfn.PERCENTOF(C15,D7)</f>
        <v>#DIV/0!</v>
      </c>
    </row>
    <row r="24" ht="16.5" customHeigh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Allocation</vt:lpstr>
      <vt:lpstr>Tami Knoell</vt:lpstr>
      <vt:lpstr>Brent Schrader</vt:lpstr>
      <vt:lpstr>Eric Simpson</vt:lpstr>
      <vt:lpstr>LuWanna Morris</vt:lpstr>
      <vt:lpstr>Reid Kincaid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Brandon T. Hall</cp:lastModifiedBy>
  <cp:revision/>
  <dcterms:created xsi:type="dcterms:W3CDTF">2025-10-14T23:02:11Z</dcterms:created>
  <dcterms:modified xsi:type="dcterms:W3CDTF">2026-03-02T19:34:30Z</dcterms:modified>
  <cp:category/>
  <cp:contentStatus/>
</cp:coreProperties>
</file>